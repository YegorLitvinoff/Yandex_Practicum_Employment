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ms-office.chartex+xml" PartName="/xl/charts/chartEx5.xml"/>
  <Override ContentType="application/vnd.ms-office.chartex+xml" PartName="/xl/charts/chartEx1.xml"/>
  <Override ContentType="application/vnd.ms-office.chartex+xml" PartName="/xl/charts/chartEx3.xml"/>
  <Override ContentType="application/vnd.ms-office.chartex+xml" PartName="/xl/charts/chartEx4.xml"/>
  <Override ContentType="application/vnd.ms-office.chartex+xml" PartName="/xl/charts/chartEx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hartstyle+xml" PartName="/xl/charts/style2.xml"/>
  <Override ContentType="application/vnd.ms-office.chartstyle+xml" PartName="/xl/charts/style1.xml"/>
  <Override ContentType="application/vnd.ms-office.chartstyle+xml" PartName="/xl/charts/style4.xml"/>
  <Override ContentType="application/vnd.ms-office.chartstyle+xml" PartName="/xl/charts/style3.xml"/>
  <Override ContentType="application/vnd.ms-office.chartstyle+xml" PartName="/xl/charts/style5.xml"/>
  <Override ContentType="application/vnd.ms-office.chartcolorstyle+xml" PartName="/xl/charts/colors3.xml"/>
  <Override ContentType="application/vnd.ms-office.chartcolorstyle+xml" PartName="/xl/charts/colors2.xml"/>
  <Override ContentType="application/vnd.ms-office.chartcolorstyle+xml" PartName="/xl/charts/colors1.xml"/>
  <Override ContentType="application/vnd.ms-office.chartcolorstyle+xml" PartName="/xl/charts/colors4.xml"/>
  <Override ContentType="application/vnd.ms-office.chartcolorstyle+xml" PartName="/xl/charts/colors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казатели" sheetId="1" r:id="rId5"/>
  </sheets>
  <definedNames/>
  <calcPr/>
</workbook>
</file>

<file path=xl/sharedStrings.xml><?xml version="1.0" encoding="utf-8"?>
<sst xmlns="http://schemas.openxmlformats.org/spreadsheetml/2006/main" count="492" uniqueCount="197">
  <si>
    <t>Цели 2025–2029, тыс. руб.</t>
  </si>
  <si>
    <t>А</t>
  </si>
  <si>
    <t>Б</t>
  </si>
  <si>
    <t>В</t>
  </si>
  <si>
    <t>Г</t>
  </si>
  <si>
    <t>Группа</t>
  </si>
  <si>
    <t>2024 факт</t>
  </si>
  <si>
    <t>Выручка</t>
  </si>
  <si>
    <t>2029 х2 к 2024</t>
  </si>
  <si>
    <t>2029 х3.5 к 2024</t>
  </si>
  <si>
    <t>Прирост год к году, %</t>
  </si>
  <si>
    <t>Чистая прибыль</t>
  </si>
  <si>
    <t>Чистая прибыль, %</t>
  </si>
  <si>
    <t xml:space="preserve">2029 не &lt; 40% </t>
  </si>
  <si>
    <t xml:space="preserve">2029 не &lt; 30% </t>
  </si>
  <si>
    <t xml:space="preserve">2029 не &lt; 35% </t>
  </si>
  <si>
    <t>Информация по компании А от смежных подразделений</t>
  </si>
  <si>
    <t>Инфляция, %</t>
  </si>
  <si>
    <t>Индексация ЗП, %</t>
  </si>
  <si>
    <t>Доп. персонал в отдел разработки, штат. ед.</t>
  </si>
  <si>
    <t>-</t>
  </si>
  <si>
    <t>Средняя заработная плата потенциального персонала, руб.</t>
  </si>
  <si>
    <t>Соц. налоги на человека, %</t>
  </si>
  <si>
    <t>Количество платежей и переводов, всего</t>
  </si>
  <si>
    <t>Стоимость привлечения платежа/перевода, руб.</t>
  </si>
  <si>
    <t>Количество активных (платящих) пользователей, чел.</t>
  </si>
  <si>
    <t>Реестр внутригрупповых операций*, тыс. руб.</t>
  </si>
  <si>
    <t>2024 план</t>
  </si>
  <si>
    <t>Компания А оказывает услуги платёжного сервиса компании Б</t>
  </si>
  <si>
    <t>Компания А приобретает аутсорсинговые услуги для осуществления текущей деятельности сервиса платежей и переводов у компании Б</t>
  </si>
  <si>
    <t>Компания Б оказывает аутсорсинговые услуги компании В</t>
  </si>
  <si>
    <t>Компания В приобретает услуги платёжного сервиса у компании А</t>
  </si>
  <si>
    <t>Компания В приобретает программное обеспечение для осуществления текущей деятельности трейдинговой платформы у компании Б</t>
  </si>
  <si>
    <t>Компания Г приобретает услуги платёжного сервиса у компании А</t>
  </si>
  <si>
    <t>Компания Г приобретает аутсорсинговые услуги у компании Б</t>
  </si>
  <si>
    <t>Компания Г получила штраф за нарушение договорных обязательств от компании Б</t>
  </si>
  <si>
    <t>Компания А в прошлом периоде предоставила беспроцентный заём компании В</t>
  </si>
  <si>
    <t>платёж в части основного долга</t>
  </si>
  <si>
    <t>остаток долга на 31.12.2024</t>
  </si>
  <si>
    <t>*При взаиморасчётах между участниками группы по их основным видам деятельности, исполнение обязательств всеми сторонами-участниками происходит одновременно</t>
  </si>
  <si>
    <t>Отчётность участников Группы Stand alone</t>
  </si>
  <si>
    <t>Отчёт о прибылях и убытках, тыс. руб.</t>
  </si>
  <si>
    <t>ВГО</t>
  </si>
  <si>
    <t>ГРУППА</t>
  </si>
  <si>
    <t>А-Б-В-Г (План-факт Анализ). Прочерком омечены значения, где на ноль делить нельзя</t>
  </si>
  <si>
    <t>Вся компания</t>
  </si>
  <si>
    <t>31.12.24 план</t>
  </si>
  <si>
    <t>31.12.24 факт</t>
  </si>
  <si>
    <t>А(Абсолютное отклонение)</t>
  </si>
  <si>
    <t>А(Относительное отклонение)%</t>
  </si>
  <si>
    <t>Б(Абсолютное отклонение)</t>
  </si>
  <si>
    <t>Б(Относительное отклонение)%</t>
  </si>
  <si>
    <t>В(Абсолютное отклонение)</t>
  </si>
  <si>
    <t>В(Относительное отклонение)%</t>
  </si>
  <si>
    <t>Г(Абсолютное отклонение)</t>
  </si>
  <si>
    <t>Г(Относительное отклонение)%</t>
  </si>
  <si>
    <t>Абсолютное отклонение</t>
  </si>
  <si>
    <t>Относительное отклонение%</t>
  </si>
  <si>
    <t>Выручка от реализации</t>
  </si>
  <si>
    <t>Комиссии за обработку платежей и переводов</t>
  </si>
  <si>
    <t>Разработка программного обеспечения</t>
  </si>
  <si>
    <t>Аутсорсинговые услуги</t>
  </si>
  <si>
    <t>Комиссии трейдинговой площадки</t>
  </si>
  <si>
    <t>Комиссии за услуги бронирования</t>
  </si>
  <si>
    <t>Себестоимость реализации:</t>
  </si>
  <si>
    <t>Прямые расходы на персонал</t>
  </si>
  <si>
    <t>Оборудование, лицензии и программное обеспечение</t>
  </si>
  <si>
    <t>Прочие расходы</t>
  </si>
  <si>
    <t>Валовая прибыль</t>
  </si>
  <si>
    <t>Операционные расходы</t>
  </si>
  <si>
    <t>Расходы на персонал</t>
  </si>
  <si>
    <t>Аренда</t>
  </si>
  <si>
    <t>Реклама и маркетинг</t>
  </si>
  <si>
    <t>Операционная прибыль</t>
  </si>
  <si>
    <t>Внереализационные доходы</t>
  </si>
  <si>
    <t>Инвестиционный доход</t>
  </si>
  <si>
    <t>Прочие доходы</t>
  </si>
  <si>
    <t>Доля прибыли Ассоциированной компании</t>
  </si>
  <si>
    <t>Внереализационные расходы</t>
  </si>
  <si>
    <t>Проценты уплаченные (аннуитет, полное погашение долга в конце 2025)</t>
  </si>
  <si>
    <t>Прибыль до налогообложения</t>
  </si>
  <si>
    <t>Налог на прибыль</t>
  </si>
  <si>
    <t>в т. ч. амортизация</t>
  </si>
  <si>
    <t>EBITDA</t>
  </si>
  <si>
    <t>Доп.расчёты для планирования ОПУ 2025-2029 компании А</t>
  </si>
  <si>
    <t>ARPAU, руб.</t>
  </si>
  <si>
    <t>Расходы на доп. персонал отдела разработки, руб.</t>
  </si>
  <si>
    <t>Факторный анализ</t>
  </si>
  <si>
    <t>Компания</t>
  </si>
  <si>
    <t>План</t>
  </si>
  <si>
    <t>Факт</t>
  </si>
  <si>
    <t>Отклонение</t>
  </si>
  <si>
    <t>Рост,%</t>
  </si>
  <si>
    <t>Прирост,%</t>
  </si>
  <si>
    <t>Доля,%</t>
  </si>
  <si>
    <t>ОДДС, тыс. руб.</t>
  </si>
  <si>
    <t>Остаток денежных средств на начало периода</t>
  </si>
  <si>
    <t>ИТОГО</t>
  </si>
  <si>
    <t>Текущая (операционная) деятельность:</t>
  </si>
  <si>
    <t>БЮДЖЕТ TOP-DOWN</t>
  </si>
  <si>
    <t>БЮДЖЕТ КОНСОЛИДИРОВАННЫЙ</t>
  </si>
  <si>
    <t>Поступления, всего:</t>
  </si>
  <si>
    <t>Показатель</t>
  </si>
  <si>
    <t>Денежные средства, полученные за обработку платежей и переводов</t>
  </si>
  <si>
    <t>ОПУ</t>
  </si>
  <si>
    <t>Денежные средства, полученные за разработку программного обеспечения</t>
  </si>
  <si>
    <t>Денежные средства, полученные от аутсорсинговых услуг</t>
  </si>
  <si>
    <t>EBIDTA</t>
  </si>
  <si>
    <t>Денежные средства, полученные за услуги трейдинговой площадки</t>
  </si>
  <si>
    <t>Денежные средства, полученные за услуги бронирования</t>
  </si>
  <si>
    <t>Чистая Прибыль</t>
  </si>
  <si>
    <t>Прочие расчёты с контрагентами</t>
  </si>
  <si>
    <t>CASH FLOW (Отчет о движении денежных средств)</t>
  </si>
  <si>
    <t>Выбытия, всего:</t>
  </si>
  <si>
    <t>Сальдо</t>
  </si>
  <si>
    <t>Расчёты с персоналом</t>
  </si>
  <si>
    <t>Выбытия</t>
  </si>
  <si>
    <t>Оплата маркетинговых и коммерческих расходов</t>
  </si>
  <si>
    <t>Поступления</t>
  </si>
  <si>
    <t>Уплаченный налог на прибыль</t>
  </si>
  <si>
    <t>Управленческий баланс</t>
  </si>
  <si>
    <t>Собственный капитал</t>
  </si>
  <si>
    <t>Сальдо денежных средств по текущей деятельности:</t>
  </si>
  <si>
    <t>Обязательства</t>
  </si>
  <si>
    <t>Основные средства</t>
  </si>
  <si>
    <t>Инвестиционная деятельность:</t>
  </si>
  <si>
    <t>Инвестиции в дочерние/ассоциированные компании</t>
  </si>
  <si>
    <t>Дивиденды полученные</t>
  </si>
  <si>
    <t>Финансовые вложения</t>
  </si>
  <si>
    <t>Проценты полученные</t>
  </si>
  <si>
    <t>Дебитосркая задолженность</t>
  </si>
  <si>
    <t>Дебиторская задолженность</t>
  </si>
  <si>
    <t>Проценты уплаченные</t>
  </si>
  <si>
    <t>Управленческий анализ группы компаний А-Б-В-Г</t>
  </si>
  <si>
    <t>Сальдо денежных средств по инвестиционной деятельности:</t>
  </si>
  <si>
    <t>Коэффициенты рентабельности</t>
  </si>
  <si>
    <t>Вся группа</t>
  </si>
  <si>
    <t>Рентабельность продаж по чистой прибыли (ROS)</t>
  </si>
  <si>
    <t>Финансовая деятельность:</t>
  </si>
  <si>
    <t>ROA</t>
  </si>
  <si>
    <t>Денежные средства, полученные по кредиту (тело)</t>
  </si>
  <si>
    <t>ROE</t>
  </si>
  <si>
    <t>Денежные средства, уплаченные за аренду</t>
  </si>
  <si>
    <t>Коэффициенты оборачиваемости</t>
  </si>
  <si>
    <t>Денежные средства, уплаченные по кредиту (тело)</t>
  </si>
  <si>
    <t>Дебиторская Задолженность</t>
  </si>
  <si>
    <t>Денежные средства, уплаченные в качестве дивидендов</t>
  </si>
  <si>
    <t>Активы</t>
  </si>
  <si>
    <t>Сальдо денежных средств по финансовой деятельности:</t>
  </si>
  <si>
    <t>Коэффициенты структуры капитала</t>
  </si>
  <si>
    <t>Денежный поток, итого</t>
  </si>
  <si>
    <t>Финансовая автономия</t>
  </si>
  <si>
    <t>Долговая нагрузка</t>
  </si>
  <si>
    <t>Остаток денежных средств на конец периода</t>
  </si>
  <si>
    <t>Коэффициенты ликвидности</t>
  </si>
  <si>
    <t>Текущая ликвидность</t>
  </si>
  <si>
    <t>Быстрая ликвидность</t>
  </si>
  <si>
    <t>Управленческий баланс*, тыс. руб.</t>
  </si>
  <si>
    <t>Абсолютная ликвидность</t>
  </si>
  <si>
    <t>Коэффициенты рентабельности продаж</t>
  </si>
  <si>
    <t>31.12.25</t>
  </si>
  <si>
    <t>31.12.26</t>
  </si>
  <si>
    <t>31.12.27</t>
  </si>
  <si>
    <t>31.12.28</t>
  </si>
  <si>
    <t>31.12.29</t>
  </si>
  <si>
    <t>Рентабельность продаж по валовой прибыли</t>
  </si>
  <si>
    <t>АКТИВЫ</t>
  </si>
  <si>
    <t>Рентабельность продаж по EBITDA</t>
  </si>
  <si>
    <t>Внеоборотные активы:</t>
  </si>
  <si>
    <t>Коэффициенты финансовой устойчивости</t>
  </si>
  <si>
    <t>Коэффициент финансовой устойчивости</t>
  </si>
  <si>
    <t>Нематериальные активы</t>
  </si>
  <si>
    <t>Коэффициент обеспеченности собственными оборотными средствами</t>
  </si>
  <si>
    <t>Коэффициент маневренности собственного капитала</t>
  </si>
  <si>
    <t>Инвестиции в дочерние и ассоциированные компании</t>
  </si>
  <si>
    <t>в т. ч. в компанию Б</t>
  </si>
  <si>
    <t>в т. ч. в компанию В</t>
  </si>
  <si>
    <t>в т. ч. в компанию Г</t>
  </si>
  <si>
    <t>Оборотные активы:</t>
  </si>
  <si>
    <t>Денежные средства</t>
  </si>
  <si>
    <t>ПАССИВЫ</t>
  </si>
  <si>
    <t>Собственные средства:</t>
  </si>
  <si>
    <t>Акционерный капитал*</t>
  </si>
  <si>
    <t>Фонды и резервы</t>
  </si>
  <si>
    <t>Нераспределённая прибыль</t>
  </si>
  <si>
    <t>в т. ч. на дату приобретения дочерних и ассоциированных компаний</t>
  </si>
  <si>
    <t>в т. ч. после приобретения дочерних и ассоциированных компаний</t>
  </si>
  <si>
    <t>Неконтролируемая доля меньшинства</t>
  </si>
  <si>
    <t>Привлечённые средства:</t>
  </si>
  <si>
    <t>Долгосрочные обязательства</t>
  </si>
  <si>
    <t>Кредиты и заёмы свыше года</t>
  </si>
  <si>
    <t>Средства учредителей</t>
  </si>
  <si>
    <t>Краткосрочные обязательства</t>
  </si>
  <si>
    <t>Бюджет</t>
  </si>
  <si>
    <t>Прочие кредиторы</t>
  </si>
  <si>
    <t>Выплаченные дивиденды  (дивиденды материнской компании не выплачиваются)</t>
  </si>
  <si>
    <t>*Величина акционерного капитала с даты приобретения компаний не менялась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</si>
</sst>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_-* #,##0_-;\-* #,##0_-;_-* &quot;-&quot;??_-;_-@"/>
    <numFmt numFmtId="166" formatCode="d.m.yy"/>
    <numFmt numFmtId="167" formatCode="#,##0,"/>
    <numFmt numFmtId="168" formatCode="#,##0.0000"/>
    <numFmt numFmtId="169" formatCode="0.0000"/>
  </numFmts>
  <fonts count="30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000000"/>
      <name val="Roboto"/>
    </font>
    <font>
      <b/>
      <sz val="11.0"/>
      <color rgb="FF000000"/>
      <name val="Roboto"/>
    </font>
    <font>
      <b/>
      <sz val="11.0"/>
      <color theme="1"/>
      <name val="Roboto"/>
    </font>
    <font/>
    <font>
      <sz val="11.0"/>
      <color rgb="FF000000"/>
      <name val="Roboto"/>
    </font>
    <font>
      <sz val="11.0"/>
      <color theme="1"/>
      <name val="Roboto"/>
    </font>
    <font>
      <b/>
      <i/>
      <sz val="11.0"/>
      <color rgb="FFFF0000"/>
      <name val="Calibri"/>
    </font>
    <font>
      <i/>
      <sz val="11.0"/>
      <color rgb="FFFF0000"/>
      <name val="Calibri"/>
    </font>
    <font>
      <sz val="14.0"/>
      <color theme="1"/>
      <name val="Calibri"/>
    </font>
    <font>
      <sz val="14.0"/>
      <color rgb="FF70AD47"/>
      <name val="Calibri"/>
    </font>
    <font>
      <sz val="14.0"/>
      <color theme="9"/>
      <name val="Calibri"/>
    </font>
    <font>
      <sz val="11.0"/>
      <color theme="9"/>
      <name val="Calibri"/>
    </font>
    <font>
      <b/>
      <sz val="14.0"/>
      <color rgb="FF000000"/>
      <name val="Oswald"/>
    </font>
    <font>
      <b/>
      <sz val="14.0"/>
      <color theme="1"/>
      <name val="Oswald"/>
    </font>
    <font>
      <sz val="14.0"/>
      <color theme="1"/>
      <name val="Oswald"/>
    </font>
    <font>
      <sz val="14.0"/>
      <color rgb="FF000000"/>
      <name val="Oswald"/>
    </font>
    <font>
      <b/>
      <i/>
      <color rgb="FFFF0000"/>
      <name val="Calibri"/>
    </font>
    <font>
      <color rgb="FF000000"/>
      <name val="Roboto"/>
    </font>
    <font>
      <b/>
      <i/>
      <sz val="11.0"/>
      <color theme="1"/>
      <name val="Calibri"/>
    </font>
    <font>
      <i/>
      <sz val="11.0"/>
      <color rgb="FF000000"/>
      <name val="Roboto"/>
    </font>
    <font>
      <i/>
      <sz val="11.0"/>
      <color theme="1"/>
      <name val="Roboto"/>
    </font>
    <font>
      <b/>
      <color rgb="FF000000"/>
      <name val="Roboto"/>
    </font>
    <font>
      <b/>
      <sz val="12.0"/>
      <color theme="1"/>
      <name val="Roboto"/>
    </font>
    <font>
      <sz val="13.0"/>
      <color rgb="FFFF0000"/>
      <name val="Roboto"/>
    </font>
    <font>
      <b/>
      <sz val="14.0"/>
      <color rgb="FFFF0000"/>
      <name val="Calibri"/>
    </font>
    <font>
      <b/>
      <sz val="11.0"/>
      <color rgb="FF70AD47"/>
      <name val="Calibri"/>
    </font>
    <font>
      <b/>
      <sz val="11.0"/>
      <color rgb="FF70AD47"/>
      <name val="Roboto"/>
    </font>
    <font>
      <sz val="11.0"/>
      <color rgb="FF70AD47"/>
      <name val="Roboto"/>
    </font>
  </fonts>
  <fills count="2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3C3AA"/>
        <bgColor rgb="FFE3C3AA"/>
      </patternFill>
    </fill>
    <fill>
      <patternFill patternType="solid">
        <fgColor rgb="FFFCE4D6"/>
        <bgColor rgb="FFFCE4D6"/>
      </patternFill>
    </fill>
    <fill>
      <patternFill patternType="solid">
        <fgColor rgb="FFEDD5C2"/>
        <bgColor rgb="FFEDD5C2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AEAAAA"/>
        <bgColor rgb="FFAEAAAA"/>
      </patternFill>
    </fill>
    <fill>
      <patternFill patternType="solid">
        <fgColor rgb="FFFFB3B3"/>
        <bgColor rgb="FFFFB3B3"/>
      </patternFill>
    </fill>
    <fill>
      <patternFill patternType="solid">
        <fgColor rgb="FFD9D9D9"/>
        <bgColor rgb="FFD9D9D9"/>
      </patternFill>
    </fill>
    <fill>
      <patternFill patternType="solid">
        <fgColor theme="5"/>
        <bgColor theme="5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theme="7"/>
        <bgColor theme="7"/>
      </patternFill>
    </fill>
  </fills>
  <borders count="58">
    <border/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bottom style="thin">
        <color rgb="FFD8D8D8"/>
      </bottom>
    </border>
    <border>
      <left style="thin">
        <color rgb="FFD8D8D8"/>
      </left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top style="thin">
        <color rgb="FFD8D8D8"/>
      </top>
    </border>
    <border>
      <left style="thin">
        <color rgb="FFD8D8D8"/>
      </left>
      <right style="thin">
        <color rgb="FFD8D8D8"/>
      </right>
      <top style="thin">
        <color rgb="FFD8D8D8"/>
      </top>
    </border>
    <border>
      <left style="thin">
        <color rgb="FFD8D8D8"/>
      </left>
      <top style="thin">
        <color rgb="FFD8D8D8"/>
      </top>
    </border>
    <border>
      <top style="medium">
        <color theme="1"/>
      </top>
      <bottom style="medium">
        <color theme="1"/>
      </bottom>
    </border>
    <border>
      <right style="thin">
        <color rgb="FFD8D8D8"/>
      </right>
      <top style="medium">
        <color theme="1"/>
      </top>
      <bottom style="medium">
        <color theme="1"/>
      </bottom>
    </border>
    <border>
      <left style="thin">
        <color rgb="FFD8D8D8"/>
      </left>
      <right/>
      <top style="medium">
        <color theme="1"/>
      </top>
      <bottom style="medium">
        <color theme="1"/>
      </bottom>
    </border>
    <border>
      <right style="thin">
        <color rgb="FFD8D8D8"/>
      </right>
      <top style="medium">
        <color theme="1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D8D8D8"/>
      </right>
    </border>
    <border>
      <left style="thin">
        <color rgb="FFD8D8D8"/>
      </left>
      <right style="thin">
        <color rgb="FFD8D8D8"/>
      </right>
      <top style="medium">
        <color theme="1"/>
      </top>
      <bottom style="thin">
        <color rgb="FFD8D8D8"/>
      </bottom>
    </border>
    <border>
      <left style="thin">
        <color rgb="FFD8D8D8"/>
      </left>
      <top style="medium">
        <color theme="1"/>
      </top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left/>
      <right/>
      <top style="medium">
        <color rgb="FF000000"/>
      </top>
      <bottom/>
    </border>
    <border>
      <top style="medium">
        <color rgb="FF000000"/>
      </top>
    </border>
    <border>
      <top style="thin">
        <color rgb="FF000000"/>
      </top>
    </border>
    <border>
      <bottom style="thin">
        <color rgb="FFAEABAB"/>
      </bottom>
    </border>
    <border>
      <left style="thin">
        <color rgb="FFAEABAB"/>
      </left>
      <right style="thin">
        <color rgb="FFAEABAB"/>
      </right>
      <bottom style="thin">
        <color rgb="FFAEABAB"/>
      </bottom>
    </border>
    <border>
      <right style="thin">
        <color rgb="FFAEABAB"/>
      </right>
      <bottom style="thin">
        <color rgb="FFAEABAB"/>
      </bottom>
    </border>
    <border>
      <left style="thin">
        <color rgb="FFAEABAB"/>
      </left>
      <bottom style="thin">
        <color rgb="FFAEABA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AEABAB"/>
      </top>
      <bottom style="thin">
        <color rgb="FFAEABAB"/>
      </bottom>
    </border>
    <border>
      <bottom style="thin">
        <color rgb="FFAEAAAA"/>
      </bottom>
    </border>
    <border>
      <left style="thin">
        <color rgb="FFAEABAB"/>
      </left>
      <right style="thin">
        <color rgb="FFAEABAB"/>
      </right>
    </border>
    <border>
      <left style="thin">
        <color rgb="FFAEABAB"/>
      </left>
    </border>
    <border>
      <right style="thin">
        <color rgb="FFAEABAB"/>
      </right>
    </border>
    <border>
      <right style="thin">
        <color rgb="FFD9D9D9"/>
      </right>
      <bottom style="thin">
        <color rgb="FF000000"/>
      </bottom>
    </border>
    <border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top style="thin">
        <color rgb="FFD9D9D9"/>
      </top>
    </border>
    <border>
      <left style="thin">
        <color rgb="FFD9D9D9"/>
      </left>
      <top style="thin">
        <color rgb="FFD9D9D9"/>
      </top>
    </border>
    <border>
      <right style="thin">
        <color rgb="FFAEABAB"/>
      </right>
      <top style="thin">
        <color rgb="FFAEABAB"/>
      </top>
      <bottom style="thin">
        <color rgb="FFAEABAB"/>
      </bottom>
    </border>
    <border>
      <right style="thin">
        <color rgb="FFAEABAB"/>
      </right>
      <top style="thin">
        <color rgb="FFAEABAB"/>
      </top>
    </border>
    <border>
      <top style="thin">
        <color rgb="FFAEABAB"/>
      </top>
    </border>
    <border>
      <right style="thin">
        <color rgb="FFAEAAAA"/>
      </right>
      <top style="thin">
        <color rgb="FFAEAAAA"/>
      </top>
      <bottom style="thin">
        <color rgb="FFAEAAAA"/>
      </bottom>
    </border>
    <border>
      <bottom style="medium">
        <color theme="1"/>
      </bottom>
    </border>
    <border>
      <left style="thin">
        <color rgb="FFAEABAB"/>
      </left>
      <right style="thin">
        <color rgb="FFAEABAB"/>
      </right>
      <bottom style="medium">
        <color theme="1"/>
      </bottom>
    </border>
    <border>
      <right style="thin">
        <color rgb="FFAEABAB"/>
      </right>
      <bottom style="medium">
        <color theme="1"/>
      </bottom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</border>
    <border>
      <left style="thin">
        <color rgb="FFAEABAB"/>
      </left>
      <top style="thin">
        <color rgb="FFAEABAB"/>
      </top>
      <bottom style="thin">
        <color rgb="FFAEABAB"/>
      </bottom>
    </border>
    <border>
      <left style="thin">
        <color rgb="FFAEABAB"/>
      </left>
      <right style="thin">
        <color rgb="FFAEABAB"/>
      </right>
      <top style="thin">
        <color rgb="FFAEABAB"/>
      </top>
    </border>
    <border>
      <left style="thin">
        <color rgb="FFAEABAB"/>
      </left>
      <top style="thin">
        <color rgb="FFAEABAB"/>
      </top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1" fillId="2" fontId="2" numFmtId="0" xfId="0" applyBorder="1" applyFill="1" applyFont="1"/>
    <xf borderId="2" fillId="0" fontId="3" numFmtId="0" xfId="0" applyAlignment="1" applyBorder="1" applyFont="1">
      <alignment vertical="center"/>
    </xf>
    <xf borderId="2" fillId="0" fontId="3" numFmtId="164" xfId="0" applyAlignment="1" applyBorder="1" applyFont="1" applyNumberFormat="1">
      <alignment vertical="center"/>
    </xf>
    <xf borderId="2" fillId="0" fontId="1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3" fillId="2" fontId="2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3" fillId="2" fontId="4" numFmtId="0" xfId="0" applyAlignment="1" applyBorder="1" applyFont="1">
      <alignment horizontal="center" vertical="center"/>
    </xf>
    <xf borderId="3" fillId="4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vertical="center"/>
    </xf>
    <xf borderId="8" fillId="0" fontId="7" numFmtId="3" xfId="0" applyBorder="1" applyFont="1" applyNumberFormat="1"/>
    <xf borderId="9" fillId="0" fontId="7" numFmtId="3" xfId="0" applyBorder="1" applyFont="1" applyNumberFormat="1"/>
    <xf borderId="7" fillId="0" fontId="6" numFmtId="0" xfId="0" applyAlignment="1" applyBorder="1" applyFont="1">
      <alignment horizontal="left" vertical="center"/>
    </xf>
    <xf borderId="10" fillId="0" fontId="7" numFmtId="164" xfId="0" applyBorder="1" applyFont="1" applyNumberFormat="1"/>
    <xf borderId="11" fillId="0" fontId="7" numFmtId="164" xfId="0" applyBorder="1" applyFont="1" applyNumberFormat="1"/>
    <xf borderId="12" fillId="0" fontId="6" numFmtId="0" xfId="0" applyAlignment="1" applyBorder="1" applyFont="1">
      <alignment vertical="center"/>
    </xf>
    <xf borderId="10" fillId="0" fontId="7" numFmtId="3" xfId="0" applyBorder="1" applyFont="1" applyNumberFormat="1"/>
    <xf borderId="11" fillId="0" fontId="7" numFmtId="3" xfId="0" applyBorder="1" applyFont="1" applyNumberFormat="1"/>
    <xf borderId="13" fillId="0" fontId="6" numFmtId="0" xfId="0" applyAlignment="1" applyBorder="1" applyFont="1">
      <alignment vertical="center"/>
    </xf>
    <xf borderId="14" fillId="0" fontId="7" numFmtId="164" xfId="0" applyBorder="1" applyFont="1" applyNumberFormat="1"/>
    <xf borderId="15" fillId="0" fontId="7" numFmtId="164" xfId="0" applyBorder="1" applyFont="1" applyNumberFormat="1"/>
    <xf borderId="0" fillId="0" fontId="1" numFmtId="165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16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vertical="center"/>
    </xf>
    <xf borderId="18" fillId="4" fontId="4" numFmtId="0" xfId="0" applyAlignment="1" applyBorder="1" applyFont="1">
      <alignment horizontal="center" vertical="center"/>
    </xf>
    <xf borderId="18" fillId="5" fontId="4" numFmtId="0" xfId="0" applyAlignment="1" applyBorder="1" applyFont="1">
      <alignment horizontal="center" vertical="center"/>
    </xf>
    <xf borderId="19" fillId="0" fontId="7" numFmtId="164" xfId="0" applyAlignment="1" applyBorder="1" applyFont="1" applyNumberFormat="1">
      <alignment vertical="center"/>
    </xf>
    <xf borderId="10" fillId="0" fontId="7" numFmtId="164" xfId="0" applyAlignment="1" applyBorder="1" applyFont="1" applyNumberFormat="1">
      <alignment vertical="center"/>
    </xf>
    <xf borderId="11" fillId="0" fontId="7" numFmtId="164" xfId="0" applyAlignment="1" applyBorder="1" applyFont="1" applyNumberFormat="1">
      <alignment vertical="center"/>
    </xf>
    <xf borderId="0" fillId="0" fontId="1" numFmtId="3" xfId="0" applyAlignment="1" applyFont="1" applyNumberFormat="1">
      <alignment vertical="center"/>
    </xf>
    <xf borderId="7" fillId="0" fontId="7" numFmtId="164" xfId="0" applyAlignment="1" applyBorder="1" applyFont="1" applyNumberFormat="1">
      <alignment vertical="center"/>
    </xf>
    <xf borderId="9" fillId="0" fontId="7" numFmtId="164" xfId="0" applyAlignment="1" applyBorder="1" applyFont="1" applyNumberFormat="1">
      <alignment vertical="center"/>
    </xf>
    <xf borderId="0" fillId="0" fontId="4" numFmtId="0" xfId="0" applyAlignment="1" applyFont="1">
      <alignment horizontal="center" shrinkToFit="0" vertical="center" wrapText="1"/>
    </xf>
    <xf borderId="20" fillId="0" fontId="7" numFmtId="3" xfId="0" applyAlignment="1" applyBorder="1" applyFont="1" applyNumberFormat="1">
      <alignment horizontal="center"/>
    </xf>
    <xf borderId="0" fillId="0" fontId="6" numFmtId="0" xfId="0" applyAlignment="1" applyFont="1">
      <alignment vertical="center"/>
    </xf>
    <xf borderId="0" fillId="0" fontId="7" numFmtId="164" xfId="0" applyFont="1" applyNumberFormat="1"/>
    <xf borderId="10" fillId="0" fontId="7" numFmtId="9" xfId="0" applyBorder="1" applyFont="1" applyNumberFormat="1"/>
    <xf borderId="11" fillId="0" fontId="7" numFmtId="9" xfId="0" applyBorder="1" applyFont="1" applyNumberFormat="1"/>
    <xf borderId="7" fillId="0" fontId="7" numFmtId="3" xfId="0" applyAlignment="1" applyBorder="1" applyFont="1" applyNumberFormat="1">
      <alignment vertical="center"/>
    </xf>
    <xf borderId="9" fillId="0" fontId="7" numFmtId="3" xfId="0" applyAlignment="1" applyBorder="1" applyFont="1" applyNumberFormat="1">
      <alignment vertical="center"/>
    </xf>
    <xf borderId="21" fillId="0" fontId="7" numFmtId="3" xfId="0" applyAlignment="1" applyBorder="1" applyFont="1" applyNumberFormat="1">
      <alignment vertical="center"/>
    </xf>
    <xf borderId="14" fillId="0" fontId="7" numFmtId="3" xfId="0" applyBorder="1" applyFont="1" applyNumberFormat="1"/>
    <xf borderId="15" fillId="0" fontId="7" numFmtId="3" xfId="0" applyBorder="1" applyFont="1" applyNumberForma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22" fillId="0" fontId="7" numFmtId="3" xfId="0" applyBorder="1" applyFont="1" applyNumberFormat="1"/>
    <xf borderId="23" fillId="0" fontId="7" numFmtId="3" xfId="0" applyBorder="1" applyFont="1" applyNumberFormat="1"/>
    <xf borderId="24" fillId="0" fontId="6" numFmtId="0" xfId="0" applyAlignment="1" applyBorder="1" applyFont="1">
      <alignment vertical="center"/>
    </xf>
    <xf borderId="0" fillId="0" fontId="7" numFmtId="3" xfId="0" applyAlignment="1" applyFont="1" applyNumberFormat="1">
      <alignment vertical="center"/>
    </xf>
    <xf borderId="24" fillId="0" fontId="6" numFmtId="0" xfId="0" applyAlignment="1" applyBorder="1" applyFont="1">
      <alignment horizontal="left" vertical="center"/>
    </xf>
    <xf borderId="21" fillId="0" fontId="6" numFmtId="0" xfId="0" applyAlignment="1" applyBorder="1" applyFont="1">
      <alignment horizontal="left" vertical="center"/>
    </xf>
    <xf borderId="0" fillId="0" fontId="7" numFmtId="3" xfId="0" applyFont="1" applyNumberFormat="1"/>
    <xf borderId="25" fillId="2" fontId="2" numFmtId="0" xfId="0" applyBorder="1" applyFont="1"/>
    <xf borderId="26" fillId="0" fontId="1" numFmtId="9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2" fillId="0" fontId="8" numFmtId="0" xfId="0" applyAlignment="1" applyBorder="1" applyFont="1">
      <alignment horizontal="center" vertical="center"/>
    </xf>
    <xf borderId="2" fillId="0" fontId="5" numFmtId="0" xfId="0" applyBorder="1" applyFont="1"/>
    <xf borderId="0" fillId="0" fontId="11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25" fillId="3" fontId="4" numFmtId="0" xfId="0" applyAlignment="1" applyBorder="1" applyFont="1">
      <alignment horizontal="center" shrinkToFit="0" vertical="center" wrapText="1"/>
    </xf>
    <xf borderId="27" fillId="6" fontId="14" numFmtId="0" xfId="0" applyAlignment="1" applyBorder="1" applyFill="1" applyFont="1">
      <alignment horizontal="center" readingOrder="0"/>
    </xf>
    <xf borderId="27" fillId="0" fontId="5" numFmtId="0" xfId="0" applyBorder="1" applyFont="1"/>
    <xf borderId="27" fillId="7" fontId="14" numFmtId="0" xfId="0" applyAlignment="1" applyBorder="1" applyFill="1" applyFont="1">
      <alignment horizontal="center" readingOrder="0"/>
    </xf>
    <xf borderId="0" fillId="8" fontId="15" numFmtId="0" xfId="0" applyAlignment="1" applyFill="1" applyFont="1">
      <alignment horizontal="center" readingOrder="0" shrinkToFit="0" vertical="center" wrapText="1"/>
    </xf>
    <xf borderId="0" fillId="6" fontId="15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6" fontId="14" numFmtId="0" xfId="0" applyAlignment="1" applyFont="1">
      <alignment horizontal="center" readingOrder="0"/>
    </xf>
    <xf borderId="0" fillId="6" fontId="14" numFmtId="166" xfId="0" applyAlignment="1" applyFont="1" applyNumberFormat="1">
      <alignment horizontal="center" readingOrder="0"/>
    </xf>
    <xf borderId="0" fillId="7" fontId="14" numFmtId="0" xfId="0" applyAlignment="1" applyFont="1">
      <alignment horizontal="center" readingOrder="0"/>
    </xf>
    <xf borderId="0" fillId="7" fontId="14" numFmtId="166" xfId="0" applyAlignment="1" applyFont="1" applyNumberFormat="1">
      <alignment horizontal="center" readingOrder="0"/>
    </xf>
    <xf borderId="0" fillId="9" fontId="15" numFmtId="0" xfId="0" applyAlignment="1" applyFill="1" applyFont="1">
      <alignment horizontal="center" readingOrder="0" shrinkToFit="0" vertical="center" wrapText="1"/>
    </xf>
    <xf borderId="0" fillId="9" fontId="15" numFmtId="0" xfId="0" applyAlignment="1" applyFont="1">
      <alignment horizontal="center" readingOrder="0" vertical="center"/>
    </xf>
    <xf borderId="28" fillId="0" fontId="3" numFmtId="0" xfId="0" applyBorder="1" applyFont="1"/>
    <xf borderId="29" fillId="0" fontId="4" numFmtId="3" xfId="0" applyBorder="1" applyFont="1" applyNumberFormat="1"/>
    <xf borderId="30" fillId="0" fontId="4" numFmtId="3" xfId="0" applyBorder="1" applyFont="1" applyNumberFormat="1"/>
    <xf borderId="31" fillId="0" fontId="4" numFmtId="3" xfId="0" applyBorder="1" applyFont="1" applyNumberFormat="1"/>
    <xf borderId="28" fillId="0" fontId="4" numFmtId="3" xfId="0" applyBorder="1" applyFont="1" applyNumberFormat="1"/>
    <xf borderId="32" fillId="6" fontId="16" numFmtId="4" xfId="0" applyAlignment="1" applyBorder="1" applyFont="1" applyNumberFormat="1">
      <alignment horizontal="center" vertical="center"/>
    </xf>
    <xf borderId="32" fillId="7" fontId="17" numFmtId="3" xfId="0" applyAlignment="1" applyBorder="1" applyFont="1" applyNumberFormat="1">
      <alignment readingOrder="0" vertical="center"/>
    </xf>
    <xf borderId="0" fillId="8" fontId="16" numFmtId="3" xfId="0" applyAlignment="1" applyFont="1" applyNumberFormat="1">
      <alignment horizontal="center"/>
    </xf>
    <xf borderId="0" fillId="7" fontId="16" numFmtId="0" xfId="0" applyAlignment="1" applyFont="1">
      <alignment horizontal="center"/>
    </xf>
    <xf borderId="0" fillId="7" fontId="16" numFmtId="0" xfId="0" applyAlignment="1" applyFont="1">
      <alignment horizontal="center" vertical="center"/>
    </xf>
    <xf borderId="0" fillId="10" fontId="16" numFmtId="3" xfId="0" applyAlignment="1" applyFill="1" applyFont="1" applyNumberFormat="1">
      <alignment horizontal="center" readingOrder="0"/>
    </xf>
    <xf borderId="0" fillId="10" fontId="16" numFmtId="0" xfId="0" applyAlignment="1" applyFont="1">
      <alignment horizontal="center" readingOrder="0"/>
    </xf>
    <xf borderId="0" fillId="0" fontId="4" numFmtId="3" xfId="0" applyFont="1" applyNumberFormat="1"/>
    <xf borderId="0" fillId="0" fontId="4" numFmtId="9" xfId="0" applyFont="1" applyNumberFormat="1"/>
    <xf borderId="33" fillId="0" fontId="7" numFmtId="0" xfId="0" applyAlignment="1" applyBorder="1" applyFont="1">
      <alignment horizontal="left"/>
    </xf>
    <xf borderId="29" fillId="0" fontId="7" numFmtId="3" xfId="0" applyBorder="1" applyFont="1" applyNumberFormat="1"/>
    <xf borderId="31" fillId="0" fontId="7" numFmtId="3" xfId="0" applyBorder="1" applyFont="1" applyNumberFormat="1"/>
    <xf borderId="30" fillId="0" fontId="7" numFmtId="3" xfId="0" applyBorder="1" applyFont="1" applyNumberFormat="1"/>
    <xf borderId="28" fillId="0" fontId="7" numFmtId="3" xfId="0" applyBorder="1" applyFont="1" applyNumberFormat="1"/>
    <xf borderId="0" fillId="7" fontId="16" numFmtId="0" xfId="0" applyAlignment="1" applyFont="1">
      <alignment horizontal="center" readingOrder="0"/>
    </xf>
    <xf borderId="0" fillId="7" fontId="16" numFmtId="0" xfId="0" applyAlignment="1" applyFont="1">
      <alignment horizontal="center" readingOrder="0" vertical="center"/>
    </xf>
    <xf borderId="0" fillId="0" fontId="7" numFmtId="9" xfId="0" applyFont="1" applyNumberFormat="1"/>
    <xf borderId="32" fillId="6" fontId="16" numFmtId="4" xfId="0" applyAlignment="1" applyBorder="1" applyFont="1" applyNumberFormat="1">
      <alignment horizontal="center" readingOrder="0" vertical="center"/>
    </xf>
    <xf borderId="29" fillId="0" fontId="3" numFmtId="3" xfId="0" applyBorder="1" applyFont="1" applyNumberFormat="1"/>
    <xf borderId="29" fillId="0" fontId="6" numFmtId="3" xfId="0" applyBorder="1" applyFont="1" applyNumberFormat="1"/>
    <xf borderId="31" fillId="0" fontId="6" numFmtId="3" xfId="0" applyBorder="1" applyFont="1" applyNumberFormat="1"/>
    <xf borderId="0" fillId="0" fontId="18" numFmtId="0" xfId="0" applyAlignment="1" applyFont="1">
      <alignment readingOrder="0" shrinkToFit="0" wrapText="0"/>
    </xf>
    <xf borderId="34" fillId="0" fontId="19" numFmtId="0" xfId="0" applyAlignment="1" applyBorder="1" applyFont="1">
      <alignment horizontal="left" readingOrder="0" shrinkToFit="0" vertical="bottom" wrapText="0"/>
    </xf>
    <xf borderId="29" fillId="0" fontId="3" numFmtId="3" xfId="0" applyAlignment="1" applyBorder="1" applyFont="1" applyNumberFormat="1">
      <alignment readingOrder="0"/>
    </xf>
    <xf borderId="30" fillId="0" fontId="4" numFmtId="3" xfId="0" applyAlignment="1" applyBorder="1" applyFont="1" applyNumberFormat="1">
      <alignment readingOrder="0"/>
    </xf>
    <xf borderId="0" fillId="8" fontId="16" numFmtId="0" xfId="0" applyAlignment="1" applyFont="1">
      <alignment horizontal="center" readingOrder="0"/>
    </xf>
    <xf borderId="3" fillId="0" fontId="20" numFmtId="0" xfId="0" applyAlignment="1" applyBorder="1" applyFont="1">
      <alignment horizontal="left" vertical="center"/>
    </xf>
    <xf borderId="32" fillId="7" fontId="14" numFmtId="3" xfId="0" applyAlignment="1" applyBorder="1" applyFont="1" applyNumberFormat="1">
      <alignment readingOrder="0" vertical="center"/>
    </xf>
    <xf borderId="0" fillId="0" fontId="21" numFmtId="0" xfId="0" applyFont="1"/>
    <xf borderId="35" fillId="0" fontId="22" numFmtId="3" xfId="0" applyBorder="1" applyFont="1" applyNumberFormat="1"/>
    <xf borderId="36" fillId="0" fontId="22" numFmtId="3" xfId="0" applyBorder="1" applyFont="1" applyNumberFormat="1"/>
    <xf borderId="37" fillId="0" fontId="22" numFmtId="3" xfId="0" applyBorder="1" applyFont="1" applyNumberFormat="1"/>
    <xf borderId="0" fillId="0" fontId="22" numFmtId="3" xfId="0" applyFont="1" applyNumberFormat="1"/>
    <xf borderId="0" fillId="0" fontId="22" numFmtId="9" xfId="0" applyFont="1" applyNumberFormat="1"/>
    <xf borderId="0" fillId="0" fontId="3" numFmtId="0" xfId="0" applyFont="1"/>
    <xf borderId="35" fillId="0" fontId="4" numFmtId="3" xfId="0" applyBorder="1" applyFont="1" applyNumberFormat="1"/>
    <xf borderId="37" fillId="0" fontId="4" numFmtId="3" xfId="0" applyBorder="1" applyFont="1" applyNumberFormat="1"/>
    <xf borderId="36" fillId="0" fontId="4" numFmtId="3" xfId="0" applyBorder="1" applyFont="1" applyNumberFormat="1"/>
    <xf borderId="0" fillId="0" fontId="4" numFmtId="3" xfId="0" applyAlignment="1" applyFont="1" applyNumberFormat="1">
      <alignment readingOrder="0"/>
    </xf>
    <xf borderId="38" fillId="0" fontId="23" numFmtId="0" xfId="0" applyAlignment="1" applyBorder="1" applyFont="1">
      <alignment horizontal="left" readingOrder="0"/>
    </xf>
    <xf borderId="39" fillId="4" fontId="23" numFmtId="0" xfId="0" applyAlignment="1" applyBorder="1" applyFont="1">
      <alignment horizontal="center"/>
    </xf>
    <xf borderId="38" fillId="4" fontId="23" numFmtId="0" xfId="0" applyAlignment="1" applyBorder="1" applyFont="1">
      <alignment horizontal="center" readingOrder="0"/>
    </xf>
    <xf borderId="40" fillId="5" fontId="23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41" fillId="0" fontId="19" numFmtId="0" xfId="0" applyAlignment="1" applyBorder="1" applyFont="1">
      <alignment readingOrder="0" shrinkToFit="0" wrapText="0"/>
    </xf>
    <xf borderId="42" fillId="0" fontId="19" numFmtId="0" xfId="0" applyAlignment="1" applyBorder="1" applyFont="1">
      <alignment shrinkToFit="0" wrapText="0"/>
    </xf>
    <xf borderId="36" fillId="0" fontId="7" numFmtId="3" xfId="0" applyBorder="1" applyFont="1" applyNumberFormat="1"/>
    <xf borderId="42" fillId="0" fontId="19" numFmtId="0" xfId="0" applyAlignment="1" applyBorder="1" applyFont="1">
      <alignment readingOrder="0" shrinkToFit="0" wrapText="0"/>
    </xf>
    <xf borderId="41" fillId="0" fontId="19" numFmtId="0" xfId="0" applyAlignment="1" applyBorder="1" applyFont="1">
      <alignment horizontal="right" readingOrder="0" shrinkToFit="0" wrapText="0"/>
    </xf>
    <xf borderId="43" fillId="0" fontId="19" numFmtId="0" xfId="0" applyAlignment="1" applyBorder="1" applyFont="1">
      <alignment shrinkToFit="0" wrapText="0"/>
    </xf>
    <xf borderId="44" fillId="0" fontId="19" numFmtId="0" xfId="0" applyAlignment="1" applyBorder="1" applyFont="1">
      <alignment readingOrder="0" shrinkToFit="0" wrapText="0"/>
    </xf>
    <xf borderId="45" fillId="0" fontId="19" numFmtId="0" xfId="0" applyAlignment="1" applyBorder="1" applyFont="1">
      <alignment shrinkToFit="0" wrapText="0"/>
    </xf>
    <xf borderId="44" fillId="0" fontId="19" numFmtId="0" xfId="0" applyAlignment="1" applyBorder="1" applyFont="1">
      <alignment shrinkToFit="0" wrapText="0"/>
    </xf>
    <xf borderId="46" fillId="0" fontId="19" numFmtId="0" xfId="0" applyAlignment="1" applyBorder="1" applyFont="1">
      <alignment horizontal="right" readingOrder="0" shrinkToFit="0" wrapText="0"/>
    </xf>
    <xf borderId="0" fillId="11" fontId="15" numFmtId="3" xfId="0" applyAlignment="1" applyFill="1" applyFont="1" applyNumberFormat="1">
      <alignment horizontal="center" readingOrder="0"/>
    </xf>
    <xf borderId="0" fillId="2" fontId="2" numFmtId="0" xfId="0" applyFont="1"/>
    <xf borderId="0" fillId="0" fontId="8" numFmtId="0" xfId="0" applyAlignment="1" applyFont="1">
      <alignment horizontal="center" vertical="center"/>
    </xf>
    <xf borderId="0" fillId="12" fontId="15" numFmtId="0" xfId="0" applyAlignment="1" applyFill="1" applyFont="1">
      <alignment horizontal="center" readingOrder="0" vertical="center"/>
    </xf>
    <xf borderId="0" fillId="12" fontId="17" numFmtId="0" xfId="0" applyAlignment="1" applyFont="1">
      <alignment horizontal="center" readingOrder="0" vertical="center"/>
    </xf>
    <xf borderId="0" fillId="12" fontId="16" numFmtId="3" xfId="0" applyAlignment="1" applyFont="1" applyNumberFormat="1">
      <alignment horizontal="center" vertical="center"/>
    </xf>
    <xf borderId="0" fillId="12" fontId="16" numFmtId="0" xfId="0" applyAlignment="1" applyFont="1">
      <alignment horizontal="center" vertical="center"/>
    </xf>
    <xf borderId="27" fillId="11" fontId="14" numFmtId="0" xfId="0" applyAlignment="1" applyBorder="1" applyFont="1">
      <alignment horizontal="center" readingOrder="0"/>
    </xf>
    <xf borderId="27" fillId="13" fontId="14" numFmtId="0" xfId="0" applyAlignment="1" applyBorder="1" applyFill="1" applyFont="1">
      <alignment horizontal="center" readingOrder="0"/>
    </xf>
    <xf borderId="0" fillId="12" fontId="17" numFmtId="0" xfId="0" applyAlignment="1" applyFont="1">
      <alignment horizontal="center" readingOrder="0" shrinkToFit="0" vertical="center" wrapText="1"/>
    </xf>
    <xf borderId="0" fillId="12" fontId="16" numFmtId="3" xfId="0" applyAlignment="1" applyFont="1" applyNumberFormat="1">
      <alignment horizontal="center" shrinkToFit="0" vertical="center" wrapText="1"/>
    </xf>
    <xf borderId="0" fillId="11" fontId="14" numFmtId="0" xfId="0" applyAlignment="1" applyFont="1">
      <alignment horizontal="center" readingOrder="0"/>
    </xf>
    <xf borderId="0" fillId="11" fontId="14" numFmtId="166" xfId="0" applyAlignment="1" applyFont="1" applyNumberFormat="1">
      <alignment horizontal="center" readingOrder="0"/>
    </xf>
    <xf borderId="0" fillId="13" fontId="14" numFmtId="0" xfId="0" applyAlignment="1" applyFont="1">
      <alignment horizontal="center" readingOrder="0"/>
    </xf>
    <xf borderId="0" fillId="13" fontId="14" numFmtId="166" xfId="0" applyAlignment="1" applyFont="1" applyNumberFormat="1">
      <alignment horizontal="center" readingOrder="0"/>
    </xf>
    <xf borderId="30" fillId="0" fontId="24" numFmtId="0" xfId="0" applyBorder="1" applyFont="1"/>
    <xf borderId="32" fillId="11" fontId="17" numFmtId="4" xfId="0" applyAlignment="1" applyBorder="1" applyFont="1" applyNumberFormat="1">
      <alignment horizontal="center" readingOrder="0" vertical="center"/>
    </xf>
    <xf borderId="32" fillId="13" fontId="17" numFmtId="3" xfId="0" applyAlignment="1" applyBorder="1" applyFont="1" applyNumberFormat="1">
      <alignment horizontal="center" vertical="center"/>
    </xf>
    <xf borderId="0" fillId="12" fontId="17" numFmtId="3" xfId="0" applyAlignment="1" applyFont="1" applyNumberFormat="1">
      <alignment horizontal="center" readingOrder="0"/>
    </xf>
    <xf borderId="0" fillId="12" fontId="16" numFmtId="3" xfId="0" applyAlignment="1" applyFont="1" applyNumberFormat="1">
      <alignment horizontal="center"/>
    </xf>
    <xf borderId="0" fillId="0" fontId="24" numFmtId="0" xfId="0" applyFont="1"/>
    <xf borderId="32" fillId="13" fontId="17" numFmtId="0" xfId="0" applyAlignment="1" applyBorder="1" applyFont="1">
      <alignment horizontal="center" readingOrder="0" vertical="center"/>
    </xf>
    <xf borderId="0" fillId="12" fontId="16" numFmtId="0" xfId="0" applyAlignment="1" applyFont="1">
      <alignment horizontal="center" readingOrder="0"/>
    </xf>
    <xf borderId="0" fillId="12" fontId="16" numFmtId="9" xfId="0" applyAlignment="1" applyFont="1" applyNumberFormat="1">
      <alignment horizontal="center" readingOrder="0"/>
    </xf>
    <xf borderId="0" fillId="0" fontId="24" numFmtId="9" xfId="0" applyFont="1" applyNumberFormat="1"/>
    <xf borderId="0" fillId="14" fontId="15" numFmtId="0" xfId="0" applyAlignment="1" applyFill="1" applyFont="1">
      <alignment horizontal="center" readingOrder="0"/>
    </xf>
    <xf borderId="0" fillId="15" fontId="15" numFmtId="0" xfId="0" applyAlignment="1" applyFill="1" applyFont="1">
      <alignment horizontal="center" readingOrder="0"/>
    </xf>
    <xf borderId="0" fillId="15" fontId="1" numFmtId="0" xfId="0" applyAlignment="1" applyFont="1">
      <alignment vertical="center"/>
    </xf>
    <xf borderId="0" fillId="15" fontId="24" numFmtId="0" xfId="0" applyFont="1"/>
    <xf borderId="32" fillId="11" fontId="17" numFmtId="4" xfId="0" applyAlignment="1" applyBorder="1" applyFont="1" applyNumberFormat="1">
      <alignment horizontal="center" vertical="center"/>
    </xf>
    <xf borderId="0" fillId="16" fontId="17" numFmtId="3" xfId="0" applyAlignment="1" applyFill="1" applyFont="1" applyNumberFormat="1">
      <alignment horizontal="center" readingOrder="0"/>
    </xf>
    <xf borderId="0" fillId="16" fontId="14" numFmtId="3" xfId="0" applyAlignment="1" applyFont="1" applyNumberFormat="1">
      <alignment horizontal="center" readingOrder="0"/>
    </xf>
    <xf borderId="0" fillId="15" fontId="14" numFmtId="3" xfId="0" applyAlignment="1" applyFont="1" applyNumberFormat="1">
      <alignment horizontal="center" readingOrder="0"/>
    </xf>
    <xf borderId="0" fillId="15" fontId="15" numFmtId="0" xfId="0" applyAlignment="1" applyFont="1">
      <alignment horizontal="center" readingOrder="0" vertical="center"/>
    </xf>
    <xf borderId="0" fillId="15" fontId="15" numFmtId="3" xfId="0" applyAlignment="1" applyFont="1" applyNumberFormat="1">
      <alignment horizontal="center" readingOrder="0"/>
    </xf>
    <xf borderId="47" fillId="0" fontId="7" numFmtId="0" xfId="0" applyBorder="1" applyFont="1"/>
    <xf borderId="0" fillId="17" fontId="14" numFmtId="3" xfId="0" applyAlignment="1" applyFill="1" applyFont="1" applyNumberFormat="1">
      <alignment horizontal="center" readingOrder="0"/>
    </xf>
    <xf borderId="0" fillId="16" fontId="14" numFmtId="3" xfId="0" applyAlignment="1" applyFont="1" applyNumberFormat="1">
      <alignment horizontal="center"/>
    </xf>
    <xf borderId="0" fillId="15" fontId="17" numFmtId="3" xfId="0" applyAlignment="1" applyFont="1" applyNumberFormat="1">
      <alignment horizontal="center" readingOrder="0"/>
    </xf>
    <xf borderId="0" fillId="15" fontId="17" numFmtId="3" xfId="0" applyAlignment="1" applyFont="1" applyNumberFormat="1">
      <alignment horizontal="center" vertical="center"/>
    </xf>
    <xf borderId="47" fillId="0" fontId="24" numFmtId="0" xfId="0" applyBorder="1" applyFont="1"/>
    <xf borderId="30" fillId="0" fontId="6" numFmtId="3" xfId="0" applyBorder="1" applyFont="1" applyNumberFormat="1"/>
    <xf borderId="48" fillId="0" fontId="24" numFmtId="0" xfId="0" applyBorder="1" applyFont="1"/>
    <xf borderId="48" fillId="0" fontId="4" numFmtId="3" xfId="0" applyBorder="1" applyFont="1" applyNumberFormat="1"/>
    <xf borderId="49" fillId="0" fontId="4" numFmtId="3" xfId="0" applyBorder="1" applyFont="1" applyNumberFormat="1"/>
    <xf borderId="32" fillId="13" fontId="14" numFmtId="3" xfId="0" applyAlignment="1" applyBorder="1" applyFont="1" applyNumberFormat="1">
      <alignment horizontal="center" vertical="center"/>
    </xf>
    <xf borderId="0" fillId="0" fontId="24" numFmtId="3" xfId="0" applyFont="1" applyNumberFormat="1"/>
    <xf borderId="0" fillId="16" fontId="17" numFmtId="0" xfId="0" applyAlignment="1" applyFont="1">
      <alignment horizontal="center" readingOrder="0"/>
    </xf>
    <xf borderId="0" fillId="15" fontId="17" numFmtId="0" xfId="0" applyAlignment="1" applyFont="1">
      <alignment horizontal="center" readingOrder="0"/>
    </xf>
    <xf borderId="0" fillId="0" fontId="7" numFmtId="0" xfId="0" applyFont="1"/>
    <xf borderId="30" fillId="0" fontId="7" numFmtId="0" xfId="0" applyBorder="1" applyFont="1"/>
    <xf borderId="48" fillId="0" fontId="7" numFmtId="0" xfId="0" applyBorder="1" applyFont="1"/>
    <xf borderId="30" fillId="0" fontId="7" numFmtId="3" xfId="0" applyAlignment="1" applyBorder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18" fontId="17" numFmtId="3" xfId="0" applyAlignment="1" applyFill="1" applyFont="1" applyNumberFormat="1">
      <alignment horizontal="center" readingOrder="0"/>
    </xf>
    <xf borderId="0" fillId="17" fontId="17" numFmtId="0" xfId="0" applyAlignment="1" applyFont="1">
      <alignment horizontal="center" readingOrder="0"/>
    </xf>
    <xf borderId="0" fillId="12" fontId="17" numFmtId="0" xfId="0" applyAlignment="1" applyFont="1">
      <alignment horizontal="center" readingOrder="0"/>
    </xf>
    <xf borderId="0" fillId="12" fontId="17" numFmtId="0" xfId="0" applyAlignment="1" applyFont="1">
      <alignment horizontal="center"/>
    </xf>
    <xf borderId="47" fillId="0" fontId="4" numFmtId="3" xfId="0" applyBorder="1" applyFont="1" applyNumberFormat="1"/>
    <xf borderId="0" fillId="0" fontId="7" numFmtId="167" xfId="0" applyFont="1" applyNumberFormat="1"/>
    <xf borderId="37" fillId="0" fontId="24" numFmtId="0" xfId="0" applyBorder="1" applyFont="1"/>
    <xf borderId="0" fillId="0" fontId="7" numFmtId="168" xfId="0" applyFont="1" applyNumberFormat="1"/>
    <xf borderId="0" fillId="0" fontId="1" numFmtId="3" xfId="0" applyFont="1" applyNumberFormat="1"/>
    <xf borderId="0" fillId="0" fontId="1" numFmtId="169" xfId="0" applyAlignment="1" applyFont="1" applyNumberFormat="1">
      <alignment vertical="center"/>
    </xf>
    <xf borderId="0" fillId="0" fontId="1" numFmtId="169" xfId="0" applyFont="1" applyNumberFormat="1"/>
    <xf borderId="0" fillId="12" fontId="17" numFmtId="0" xfId="0" applyAlignment="1" applyFont="1">
      <alignment horizontal="center" vertical="center"/>
    </xf>
    <xf borderId="27" fillId="19" fontId="14" numFmtId="0" xfId="0" applyAlignment="1" applyBorder="1" applyFill="1" applyFont="1">
      <alignment horizontal="center" readingOrder="0"/>
    </xf>
    <xf borderId="27" fillId="20" fontId="14" numFmtId="0" xfId="0" applyAlignment="1" applyBorder="1" applyFill="1" applyFont="1">
      <alignment horizontal="center" readingOrder="0"/>
    </xf>
    <xf borderId="0" fillId="18" fontId="17" numFmtId="0" xfId="0" applyAlignment="1" applyFont="1">
      <alignment horizontal="center" readingOrder="0" shrinkToFit="0" vertical="center" wrapText="1"/>
    </xf>
    <xf borderId="0" fillId="19" fontId="14" numFmtId="0" xfId="0" applyAlignment="1" applyFont="1">
      <alignment horizontal="center" readingOrder="0"/>
    </xf>
    <xf borderId="0" fillId="19" fontId="14" numFmtId="166" xfId="0" applyAlignment="1" applyFont="1" applyNumberFormat="1">
      <alignment horizontal="center" readingOrder="0"/>
    </xf>
    <xf borderId="0" fillId="20" fontId="14" numFmtId="0" xfId="0" applyAlignment="1" applyFont="1">
      <alignment horizontal="center" readingOrder="0"/>
    </xf>
    <xf borderId="0" fillId="20" fontId="14" numFmtId="166" xfId="0" applyAlignment="1" applyFont="1" applyNumberFormat="1">
      <alignment horizontal="center" readingOrder="0"/>
    </xf>
    <xf borderId="50" fillId="12" fontId="17" numFmtId="0" xfId="0" applyAlignment="1" applyBorder="1" applyFont="1">
      <alignment horizontal="center" readingOrder="0" shrinkToFit="0" vertical="bottom" wrapText="0"/>
    </xf>
    <xf borderId="51" fillId="0" fontId="24" numFmtId="0" xfId="0" applyAlignment="1" applyBorder="1" applyFont="1">
      <alignment horizontal="left" readingOrder="1" vertical="center"/>
    </xf>
    <xf borderId="52" fillId="0" fontId="4" numFmtId="3" xfId="0" applyBorder="1" applyFont="1" applyNumberFormat="1"/>
    <xf borderId="53" fillId="0" fontId="4" numFmtId="3" xfId="0" applyBorder="1" applyFont="1" applyNumberFormat="1"/>
    <xf borderId="51" fillId="0" fontId="4" numFmtId="3" xfId="0" applyBorder="1" applyFont="1" applyNumberFormat="1"/>
    <xf borderId="32" fillId="19" fontId="14" numFmtId="4" xfId="0" applyAlignment="1" applyBorder="1" applyFont="1" applyNumberFormat="1">
      <alignment horizontal="center" vertical="center"/>
    </xf>
    <xf borderId="32" fillId="20" fontId="14" numFmtId="3" xfId="0" applyAlignment="1" applyBorder="1" applyFont="1" applyNumberFormat="1">
      <alignment horizontal="center" vertical="center"/>
    </xf>
    <xf borderId="50" fillId="12" fontId="17" numFmtId="3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left" readingOrder="1" vertical="center"/>
    </xf>
    <xf borderId="32" fillId="19" fontId="17" numFmtId="4" xfId="0" applyAlignment="1" applyBorder="1" applyFont="1" applyNumberFormat="1">
      <alignment horizontal="center" readingOrder="0" vertical="center"/>
    </xf>
    <xf borderId="32" fillId="20" fontId="17" numFmtId="3" xfId="0" applyAlignment="1" applyBorder="1" applyFont="1" applyNumberFormat="1">
      <alignment horizontal="center" vertical="center"/>
    </xf>
    <xf borderId="33" fillId="0" fontId="4" numFmtId="0" xfId="0" applyAlignment="1" applyBorder="1" applyFont="1">
      <alignment horizontal="left" readingOrder="1" vertical="center"/>
    </xf>
    <xf borderId="54" fillId="0" fontId="4" numFmtId="3" xfId="0" applyBorder="1" applyFont="1" applyNumberFormat="1"/>
    <xf borderId="55" fillId="0" fontId="4" numFmtId="3" xfId="0" applyBorder="1" applyFont="1" applyNumberFormat="1"/>
    <xf borderId="0" fillId="21" fontId="17" numFmtId="0" xfId="0" applyAlignment="1" applyFill="1" applyFont="1">
      <alignment horizontal="center" readingOrder="0"/>
    </xf>
    <xf borderId="0" fillId="21" fontId="17" numFmtId="0" xfId="0" applyAlignment="1" applyFont="1">
      <alignment horizontal="center"/>
    </xf>
    <xf borderId="0" fillId="21" fontId="17" numFmtId="0" xfId="0" applyAlignment="1" applyFont="1">
      <alignment horizontal="center" readingOrder="0" shrinkToFit="0" vertical="center" wrapText="1"/>
    </xf>
    <xf borderId="32" fillId="19" fontId="17" numFmtId="4" xfId="0" applyAlignment="1" applyBorder="1" applyFont="1" applyNumberFormat="1">
      <alignment horizontal="center" vertical="center"/>
    </xf>
    <xf borderId="47" fillId="0" fontId="7" numFmtId="0" xfId="0" applyAlignment="1" applyBorder="1" applyFont="1">
      <alignment horizontal="left" readingOrder="1" vertical="center"/>
    </xf>
    <xf borderId="47" fillId="0" fontId="7" numFmtId="3" xfId="0" applyBorder="1" applyFont="1" applyNumberFormat="1"/>
    <xf borderId="55" fillId="0" fontId="7" numFmtId="3" xfId="0" applyBorder="1" applyFont="1" applyNumberFormat="1"/>
    <xf borderId="54" fillId="0" fontId="7" numFmtId="3" xfId="0" applyBorder="1" applyFont="1" applyNumberFormat="1"/>
    <xf borderId="32" fillId="20" fontId="17" numFmtId="0" xfId="0" applyAlignment="1" applyBorder="1" applyFont="1">
      <alignment horizontal="center" readingOrder="0" vertical="center"/>
    </xf>
    <xf borderId="0" fillId="0" fontId="16" numFmtId="0" xfId="0" applyFont="1"/>
    <xf borderId="0" fillId="0" fontId="7" numFmtId="0" xfId="0" applyAlignment="1" applyFont="1">
      <alignment horizontal="left" readingOrder="1" vertical="center"/>
    </xf>
    <xf borderId="0" fillId="0" fontId="3" numFmtId="3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30" fillId="0" fontId="4" numFmtId="0" xfId="0" applyAlignment="1" applyBorder="1" applyFont="1">
      <alignment horizontal="left" readingOrder="1" vertical="center"/>
    </xf>
    <xf borderId="37" fillId="0" fontId="4" numFmtId="0" xfId="0" applyAlignment="1" applyBorder="1" applyFont="1">
      <alignment horizontal="left" readingOrder="1" vertical="center"/>
    </xf>
    <xf borderId="47" fillId="0" fontId="4" numFmtId="0" xfId="0" applyAlignment="1" applyBorder="1" applyFont="1">
      <alignment horizontal="left" readingOrder="1" vertical="center"/>
    </xf>
    <xf borderId="0" fillId="0" fontId="1" numFmtId="0" xfId="0" applyAlignment="1" applyFont="1">
      <alignment horizontal="left" readingOrder="1" vertical="center"/>
    </xf>
    <xf borderId="53" fillId="0" fontId="24" numFmtId="0" xfId="0" applyAlignment="1" applyBorder="1" applyFont="1">
      <alignment horizontal="left" readingOrder="1" vertical="center"/>
    </xf>
    <xf borderId="37" fillId="0" fontId="4" numFmtId="0" xfId="0" applyAlignment="1" applyBorder="1" applyFont="1">
      <alignment horizontal="left" readingOrder="1" vertical="center"/>
    </xf>
    <xf borderId="32" fillId="20" fontId="17" numFmtId="4" xfId="0" applyAlignment="1" applyBorder="1" applyFont="1" applyNumberFormat="1">
      <alignment horizontal="center" vertical="center"/>
    </xf>
    <xf borderId="0" fillId="0" fontId="25" numFmtId="3" xfId="0" applyAlignment="1" applyFont="1" applyNumberFormat="1">
      <alignment readingOrder="0"/>
    </xf>
    <xf borderId="33" fillId="0" fontId="7" numFmtId="0" xfId="0" applyAlignment="1" applyBorder="1" applyFont="1">
      <alignment horizontal="left" readingOrder="1" vertical="center"/>
    </xf>
    <xf borderId="54" fillId="0" fontId="1" numFmtId="3" xfId="0" applyBorder="1" applyFont="1" applyNumberFormat="1"/>
    <xf borderId="55" fillId="0" fontId="1" numFmtId="3" xfId="0" applyBorder="1" applyFont="1" applyNumberFormat="1"/>
    <xf borderId="47" fillId="0" fontId="1" numFmtId="3" xfId="0" applyBorder="1" applyFont="1" applyNumberFormat="1"/>
    <xf borderId="32" fillId="20" fontId="17" numFmtId="4" xfId="0" applyAlignment="1" applyBorder="1" applyFont="1" applyNumberFormat="1">
      <alignment horizontal="center" readingOrder="0" vertical="center"/>
    </xf>
    <xf borderId="0" fillId="0" fontId="1" numFmtId="9" xfId="0" applyFont="1" applyNumberFormat="1"/>
    <xf borderId="50" fillId="0" fontId="19" numFmtId="0" xfId="0" applyAlignment="1" applyBorder="1" applyFont="1">
      <alignment horizontal="left" shrinkToFit="0" wrapText="0"/>
    </xf>
    <xf borderId="48" fillId="0" fontId="7" numFmtId="0" xfId="0" applyAlignment="1" applyBorder="1" applyFont="1">
      <alignment horizontal="left" readingOrder="1" vertical="center"/>
    </xf>
    <xf borderId="48" fillId="0" fontId="7" numFmtId="3" xfId="0" applyBorder="1" applyFont="1" applyNumberFormat="1"/>
    <xf borderId="56" fillId="0" fontId="7" numFmtId="3" xfId="0" applyBorder="1" applyFont="1" applyNumberFormat="1"/>
    <xf borderId="57" fillId="0" fontId="7" numFmtId="3" xfId="0" applyBorder="1" applyFont="1" applyNumberFormat="1"/>
    <xf borderId="0" fillId="0" fontId="7" numFmtId="0" xfId="0" applyAlignment="1" applyFont="1">
      <alignment horizontal="left" readingOrder="1" vertical="center"/>
    </xf>
    <xf borderId="0" fillId="0" fontId="26" numFmtId="0" xfId="0" applyFont="1"/>
    <xf borderId="0" fillId="0" fontId="1" numFmtId="0" xfId="0" applyFont="1"/>
    <xf borderId="0" fillId="0" fontId="27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1" numFmtId="9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Ex2.xml.rels><?xml version="1.0" encoding="UTF-8" standalone="yes"?>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Ex3.xml.rels><?xml version="1.0" encoding="UTF-8" standalone="yes"?>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Ex4.xml.rels><?xml version="1.0" encoding="UTF-8" standalone="yes"?>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Ex5.xml.rels><?xml version="1.0" encoding="UTF-8" standalone="yes"?>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'Показатели'!$D$48:$I$48</cx:f>
      </cx:numDim>
    </cx:data>
  </cx:chartData>
  <cx:chart>
    <cx:title overlay="0">
      <cx:txPr>
        <a:bodyPr/>
        <a:lstStyle/>
        <a:p>
          <a:pPr lvl="0">
            <a:defRPr b="0" sz="1600">
              <a:solidFill>
                <a:srgbClr val="000000"/>
              </a:solidFill>
              <a:latin typeface="Arial black"/>
            </a:defRPr>
          </a:pPr>
          <a:r>
            <a:rPr b="0" sz="1600">
              <a:solidFill>
                <a:srgbClr val="000000"/>
              </a:solidFill>
              <a:latin typeface="Arial black"/>
            </a:rPr>
            <a:t>Себестоимость</a:t>
          </a:r>
        </a:p>
      </cx:txPr>
    </cx:title>
    <cx:plotArea>
      <cx:plotAreaRegion>
        <cx:series layoutId="waterfall" uniqueId="{9E73D56A-76EC-4827-99F7-C2B29C5661EB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2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('Показатели'!$D$52:$I$52,'Показатели'!$L$52:$Q$52,'Показатели'!$T$52:$Y$52,'Показатели'!$AB$52:$AG$52)</cx:f>
      </cx:numDim>
    </cx:data>
  </cx:chartData>
  <cx:chart>
    <cx:title overlay="0">
      <cx:txPr>
        <a:bodyPr/>
        <a:lstStyle/>
        <a:p>
          <a:pPr lvl="0">
            <a:defRPr b="1" sz="2000">
              <a:solidFill>
                <a:srgbClr val="000000"/>
              </a:solidFill>
              <a:latin typeface="+mn-lt"/>
            </a:defRPr>
          </a:pPr>
          <a:r>
            <a:rPr b="1" sz="2000">
              <a:solidFill>
                <a:srgbClr val="000000"/>
              </a:solidFill>
              <a:latin typeface="+mn-lt"/>
            </a:rPr>
            <a:t>Валовая прибыль</a:t>
          </a:r>
        </a:p>
      </cx:txPr>
    </cx:title>
    <cx:plotArea>
      <cx:plotAreaRegion>
        <cx:series layoutId="waterfall" uniqueId="{2DB14B06-2A5C-4060-A1A0-219396066EEA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3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('Показатели'!$D$111:$I$111,'Показатели'!$L$111:$Q$111,'Показатели'!$T$111:$Y$111,'Показатели'!$AB$111:$AG$111)</cx:f>
      </cx:numDim>
    </cx:data>
  </cx:chartData>
  <cx:chart>
    <cx:title overlay="0">
      <cx:txPr>
        <a:bodyPr/>
        <a:lstStyle/>
        <a:p>
          <a:pPr lvl="0">
            <a:defRPr b="1" i="0">
              <a:solidFill>
                <a:srgbClr val="000000"/>
              </a:solidFill>
              <a:latin typeface="Arial black"/>
            </a:defRPr>
          </a:pPr>
          <a:r>
            <a:rPr b="1" i="0">
              <a:solidFill>
                <a:srgbClr val="000000"/>
              </a:solidFill>
              <a:latin typeface="Arial black"/>
            </a:rPr>
            <a:t>Денежный поток</a:t>
          </a:r>
        </a:p>
      </cx:txPr>
    </cx:title>
    <cx:plotArea>
      <cx:plotAreaRegion>
        <cx:series layoutId="waterfall" uniqueId="{17700E2A-7609-46DE-998D-65D7E5888B30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4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('Показатели'!$D$131:$I$131,'Показатели'!$L$131:$Q$131,'Показатели'!$T$131:$Y$131)</cx:f>
      </cx:numDim>
    </cx:data>
  </cx:chartData>
  <cx:chart>
    <cx:title overlay="0">
      <cx:txPr>
        <a:bodyPr/>
        <a:lstStyle/>
        <a:p>
          <a:pPr lvl="0">
            <a:defRPr b="0" sz="2000">
              <a:solidFill>
                <a:srgbClr val="000000"/>
              </a:solidFill>
              <a:latin typeface="Arial black"/>
            </a:defRPr>
          </a:pPr>
          <a:r>
            <a:rPr b="0" sz="2000">
              <a:solidFill>
                <a:srgbClr val="000000"/>
              </a:solidFill>
              <a:latin typeface="Arial black"/>
            </a:rPr>
            <a:t>Денежные средства</a:t>
          </a:r>
        </a:p>
      </cx:txPr>
    </cx:title>
    <cx:plotArea>
      <cx:plotAreaRegion>
        <cx:series layoutId="waterfall" uniqueId="{3D57063C-36AE-48AD-AFC7-07CE26082953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hartEx5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 dir="row">('Показатели'!$D$138:$I$138,'Показатели'!$L$138:$Q$138,'Показатели'!$T$138:$Y$138,'Показатели'!$AB$138:$AG$138)</cx:f>
      </cx:numDim>
    </cx:data>
  </cx:chartData>
  <cx:chart>
    <cx:title overlay="0">
      <cx:txPr>
        <a:bodyPr/>
        <a:lstStyle/>
        <a:p>
          <a:pPr lvl="0">
            <a:defRPr b="0" sz="2000">
              <a:solidFill>
                <a:srgbClr val="000000"/>
              </a:solidFill>
              <a:latin typeface="Arial black"/>
            </a:defRPr>
          </a:pPr>
          <a:r>
            <a:rPr b="0" sz="2000">
              <a:solidFill>
                <a:srgbClr val="000000"/>
              </a:solidFill>
              <a:latin typeface="Arial black"/>
            </a:rPr>
            <a:t>Нераспределенная прибыль</a:t>
          </a:r>
        </a:p>
      </cx:txPr>
    </cx:title>
    <cx:plotArea>
      <cx:plotAreaRegion>
        <cx:series layoutId="waterfall" uniqueId="{7793E441-56EF-4B5A-95F5-7FC88F170E59}"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  <cx:legend pos="r" overlay="0">
      <cx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b="0">
            <a:solidFill>
              <a:srgbClr val="1A1A1A"/>
            </a:solidFill>
            <a:latin typeface="+mn-lt"/>
          </a:endParaRPr>
        </a:p>
      </cx:txPr>
    </cx:legend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2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3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4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colors5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Relationship Id="rId2" Type="http://schemas.microsoft.com/office/2014/relationships/chartEx" Target="../charts/chartEx2.xml"/><Relationship Id="rId3" Type="http://schemas.microsoft.com/office/2014/relationships/chartEx" Target="../charts/chartEx3.xml"/><Relationship Id="rId4" Type="http://schemas.microsoft.com/office/2014/relationships/chartEx" Target="../charts/chartEx4.xml"/><Relationship Id="rId5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55</xdr:col>
      <xdr:colOff>9525</xdr:colOff>
      <xdr:row>99</xdr:row>
      <xdr:rowOff>228600</xdr:rowOff>
    </xdr:from>
    <xdr:ext cx="5715000" cy="3533775"/>
    <mc:AlternateContent>
      <mc:Choice Requires="cx1">
        <xdr:graphicFrame>
          <xdr:nvGraphicFramePr>
            <xdr:cNvPr id="1" name="Chart 1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2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55</xdr:col>
      <xdr:colOff>9525</xdr:colOff>
      <xdr:row>113</xdr:row>
      <xdr:rowOff>209550</xdr:rowOff>
    </xdr:from>
    <xdr:ext cx="5715000" cy="3533775"/>
    <mc:AlternateContent>
      <mc:Choice Requires="cx1">
        <xdr:graphicFrame>
          <xdr:nvGraphicFramePr>
            <xdr:cNvPr id="3" name="Chart 3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2"/>
            </a:graphicData>
          </a:graphic>
        </xdr:graphicFrame>
      </mc:Choice>
      <mc:Fallback>
        <xdr:sp>
          <xdr:nvSpPr>
            <xdr:cNvPr id="4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56</xdr:col>
      <xdr:colOff>581025</xdr:colOff>
      <xdr:row>99</xdr:row>
      <xdr:rowOff>228600</xdr:rowOff>
    </xdr:from>
    <xdr:ext cx="5715000" cy="3533775"/>
    <mc:AlternateContent>
      <mc:Choice Requires="cx1">
        <xdr:graphicFrame>
          <xdr:nvGraphicFramePr>
            <xdr:cNvPr id="5" name="Chart 5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3"/>
            </a:graphicData>
          </a:graphic>
        </xdr:graphicFrame>
      </mc:Choice>
      <mc:Fallback>
        <xdr:sp>
          <xdr:nvSpPr>
            <xdr:cNvPr id="6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58</xdr:col>
      <xdr:colOff>2286000</xdr:colOff>
      <xdr:row>99</xdr:row>
      <xdr:rowOff>228600</xdr:rowOff>
    </xdr:from>
    <xdr:ext cx="5715000" cy="3533775"/>
    <mc:AlternateContent>
      <mc:Choice Requires="cx1">
        <xdr:graphicFrame>
          <xdr:nvGraphicFramePr>
            <xdr:cNvPr id="7" name="Chart 7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4"/>
            </a:graphicData>
          </a:graphic>
        </xdr:graphicFrame>
      </mc:Choice>
      <mc:Fallback>
        <xdr:sp>
          <xdr:nvSpPr>
            <xdr:cNvPr id="8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  <xdr:oneCellAnchor>
    <xdr:from>
      <xdr:col>58</xdr:col>
      <xdr:colOff>2276475</xdr:colOff>
      <xdr:row>113</xdr:row>
      <xdr:rowOff>238125</xdr:rowOff>
    </xdr:from>
    <xdr:ext cx="5715000" cy="3533775"/>
    <mc:AlternateContent>
      <mc:Choice Requires="cx1">
        <xdr:graphicFrame>
          <xdr:nvGraphicFramePr>
            <xdr:cNvPr id="9" name="Chart 9" title="Диаграмм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5"/>
            </a:graphicData>
          </a:graphic>
        </xdr:graphicFrame>
      </mc:Choice>
      <mc:Fallback>
        <xdr:sp>
          <xdr:nvSpPr>
            <xdr:cNvPr id="1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.43"/>
    <col customWidth="1" min="2" max="2" width="67.86"/>
    <col customWidth="1" min="3" max="9" width="14.71"/>
    <col customWidth="1" min="10" max="10" width="1.43"/>
    <col customWidth="1" min="11" max="17" width="14.71"/>
    <col customWidth="1" min="18" max="18" width="1.43"/>
    <col customWidth="1" min="19" max="25" width="14.71"/>
    <col customWidth="1" min="26" max="26" width="1.43"/>
    <col customWidth="1" min="27" max="33" width="14.71"/>
    <col customWidth="1" min="34" max="34" width="5.86"/>
    <col customWidth="1" min="35" max="41" width="19.43"/>
    <col customWidth="1" min="42" max="42" width="5.14"/>
    <col customWidth="1" min="43" max="49" width="19.43"/>
    <col customWidth="1" min="50" max="50" width="77.86"/>
    <col customWidth="1" min="51" max="54" width="23.57"/>
    <col customWidth="1" min="55" max="55" width="38.29"/>
    <col customWidth="1" min="56" max="56" width="77.14"/>
    <col customWidth="1" min="57" max="57" width="36.29"/>
    <col customWidth="1" min="58" max="58" width="26.29"/>
    <col customWidth="1" min="59" max="59" width="36.86"/>
    <col customWidth="1" min="60" max="60" width="34.0"/>
    <col customWidth="1" min="61" max="61" width="30.57"/>
    <col customWidth="1" min="62" max="63" width="10.14"/>
    <col customWidth="1" min="64" max="65" width="9.14"/>
    <col customWidth="1" min="66" max="66" width="1.43"/>
    <col customWidth="1" min="67" max="71" width="9.14"/>
    <col customWidth="1" min="72" max="72" width="1.43"/>
    <col customWidth="1" min="73" max="76" width="9.14"/>
    <col customWidth="1" min="77" max="77" width="1.43"/>
    <col customWidth="1" min="78" max="82" width="9.14"/>
  </cols>
  <sheetData>
    <row r="1" ht="19.5" customHeight="1">
      <c r="A1" s="1"/>
      <c r="B1" s="1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ht="19.5" customHeight="1">
      <c r="A2" s="1"/>
      <c r="B2" s="3" t="s">
        <v>0</v>
      </c>
      <c r="C2" s="4"/>
      <c r="D2" s="5"/>
      <c r="E2" s="5"/>
      <c r="F2" s="5"/>
      <c r="G2" s="5"/>
      <c r="H2" s="5"/>
      <c r="I2" s="6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ht="19.5" customHeight="1">
      <c r="A3" s="1"/>
      <c r="B3" s="8"/>
      <c r="C3" s="9" t="s">
        <v>1</v>
      </c>
      <c r="D3" s="10"/>
      <c r="E3" s="10"/>
      <c r="F3" s="10"/>
      <c r="G3" s="10"/>
      <c r="H3" s="10"/>
      <c r="I3" s="11"/>
      <c r="J3" s="7"/>
      <c r="K3" s="9" t="s">
        <v>2</v>
      </c>
      <c r="L3" s="10"/>
      <c r="M3" s="10"/>
      <c r="N3" s="10"/>
      <c r="O3" s="10"/>
      <c r="P3" s="10"/>
      <c r="Q3" s="11"/>
      <c r="R3" s="1"/>
      <c r="S3" s="9" t="s">
        <v>3</v>
      </c>
      <c r="T3" s="10"/>
      <c r="U3" s="10"/>
      <c r="V3" s="10"/>
      <c r="W3" s="10"/>
      <c r="X3" s="10"/>
      <c r="Y3" s="11"/>
      <c r="Z3" s="1"/>
      <c r="AA3" s="9" t="s">
        <v>4</v>
      </c>
      <c r="AB3" s="10"/>
      <c r="AC3" s="10"/>
      <c r="AD3" s="10"/>
      <c r="AE3" s="10"/>
      <c r="AF3" s="10"/>
      <c r="AG3" s="1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9" t="s">
        <v>5</v>
      </c>
      <c r="AY3" s="10"/>
      <c r="AZ3" s="10"/>
      <c r="BA3" s="10"/>
      <c r="BB3" s="10"/>
      <c r="BC3" s="10"/>
      <c r="BD3" s="1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ht="19.5" customHeight="1">
      <c r="A4" s="1"/>
      <c r="B4" s="12"/>
      <c r="C4" s="13"/>
      <c r="D4" s="13" t="s">
        <v>6</v>
      </c>
      <c r="E4" s="14">
        <v>2025.0</v>
      </c>
      <c r="F4" s="14">
        <v>2026.0</v>
      </c>
      <c r="G4" s="14">
        <v>2027.0</v>
      </c>
      <c r="H4" s="14">
        <v>2028.0</v>
      </c>
      <c r="I4" s="14">
        <v>2029.0</v>
      </c>
      <c r="J4" s="1"/>
      <c r="K4" s="13"/>
      <c r="L4" s="13" t="s">
        <v>6</v>
      </c>
      <c r="M4" s="14">
        <v>2025.0</v>
      </c>
      <c r="N4" s="14">
        <v>2026.0</v>
      </c>
      <c r="O4" s="14">
        <v>2027.0</v>
      </c>
      <c r="P4" s="14">
        <v>2028.0</v>
      </c>
      <c r="Q4" s="14">
        <v>2029.0</v>
      </c>
      <c r="R4" s="1"/>
      <c r="S4" s="13"/>
      <c r="T4" s="13" t="s">
        <v>6</v>
      </c>
      <c r="U4" s="14">
        <v>2025.0</v>
      </c>
      <c r="V4" s="14">
        <v>2026.0</v>
      </c>
      <c r="W4" s="14">
        <v>2027.0</v>
      </c>
      <c r="X4" s="14">
        <v>2028.0</v>
      </c>
      <c r="Y4" s="14">
        <v>2029.0</v>
      </c>
      <c r="Z4" s="1"/>
      <c r="AA4" s="13"/>
      <c r="AB4" s="13" t="s">
        <v>6</v>
      </c>
      <c r="AC4" s="14">
        <v>2025.0</v>
      </c>
      <c r="AD4" s="14">
        <v>2026.0</v>
      </c>
      <c r="AE4" s="14">
        <v>2027.0</v>
      </c>
      <c r="AF4" s="14">
        <v>2028.0</v>
      </c>
      <c r="AG4" s="14">
        <v>2029.0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3"/>
      <c r="AY4" s="13" t="s">
        <v>6</v>
      </c>
      <c r="AZ4" s="14">
        <v>2025.0</v>
      </c>
      <c r="BA4" s="14">
        <v>2026.0</v>
      </c>
      <c r="BB4" s="14">
        <v>2027.0</v>
      </c>
      <c r="BC4" s="14">
        <v>2028.0</v>
      </c>
      <c r="BD4" s="14">
        <v>2029.0</v>
      </c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ht="19.5" customHeight="1">
      <c r="A5" s="1"/>
      <c r="B5" s="15" t="s">
        <v>7</v>
      </c>
      <c r="C5" s="15" t="s">
        <v>8</v>
      </c>
      <c r="D5" s="16">
        <v>51502.0</v>
      </c>
      <c r="E5" s="16">
        <v>59031.592399999994</v>
      </c>
      <c r="F5" s="16">
        <v>67732.84911976</v>
      </c>
      <c r="G5" s="16">
        <v>77797.95049895633</v>
      </c>
      <c r="H5" s="16">
        <v>89452.08348369999</v>
      </c>
      <c r="I5" s="17">
        <f>D5*2</f>
        <v>103004</v>
      </c>
      <c r="J5" s="1"/>
      <c r="K5" s="15" t="s">
        <v>8</v>
      </c>
      <c r="L5" s="16">
        <v>43215.027862068964</v>
      </c>
      <c r="M5" s="16">
        <v>49498.49291321379</v>
      </c>
      <c r="N5" s="16">
        <v>56824.26986436943</v>
      </c>
      <c r="O5" s="16">
        <v>65274.038793201165</v>
      </c>
      <c r="P5" s="16">
        <v>75065.14461218134</v>
      </c>
      <c r="Q5" s="17">
        <f>L5*2</f>
        <v>86430.05572</v>
      </c>
      <c r="R5" s="1"/>
      <c r="S5" s="15" t="s">
        <v>9</v>
      </c>
      <c r="T5" s="16">
        <v>24565.0</v>
      </c>
      <c r="U5" s="16">
        <v>30829.074999999997</v>
      </c>
      <c r="V5" s="16">
        <v>38998.779875</v>
      </c>
      <c r="W5" s="16">
        <v>49918.43824</v>
      </c>
      <c r="X5" s="16">
        <v>64644.3775208</v>
      </c>
      <c r="Y5" s="17">
        <f>T5*3.5</f>
        <v>85977.5</v>
      </c>
      <c r="Z5" s="1"/>
      <c r="AA5" s="15" t="s">
        <v>8</v>
      </c>
      <c r="AB5" s="16">
        <v>7911.8422222222225</v>
      </c>
      <c r="AC5" s="16">
        <v>8995.764606666668</v>
      </c>
      <c r="AD5" s="16">
        <v>10282.15894542</v>
      </c>
      <c r="AE5" s="16">
        <v>11803.91846934216</v>
      </c>
      <c r="AF5" s="16">
        <v>13633.525832090194</v>
      </c>
      <c r="AG5" s="17">
        <f>AB5*2</f>
        <v>15823.68444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5"/>
      <c r="AY5" s="16">
        <v>116763.02786206896</v>
      </c>
      <c r="AZ5" s="16">
        <v>136602.56031321376</v>
      </c>
      <c r="BA5" s="16">
        <v>160671.64385912943</v>
      </c>
      <c r="BB5" s="16">
        <v>189978.4597821575</v>
      </c>
      <c r="BC5" s="16">
        <v>226021.86447918133</v>
      </c>
      <c r="BD5" s="17">
        <v>272143.97752976295</v>
      </c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ht="19.5" customHeight="1">
      <c r="A6" s="1"/>
      <c r="B6" s="18" t="s">
        <v>10</v>
      </c>
      <c r="C6" s="18"/>
      <c r="D6" s="19">
        <v>0.145</v>
      </c>
      <c r="E6" s="19">
        <v>0.1462</v>
      </c>
      <c r="F6" s="19">
        <v>0.1474</v>
      </c>
      <c r="G6" s="19">
        <v>0.1486</v>
      </c>
      <c r="H6" s="19">
        <v>0.14980000000000002</v>
      </c>
      <c r="I6" s="20">
        <f>I5/H5-1</f>
        <v>0.1514991713</v>
      </c>
      <c r="J6" s="1"/>
      <c r="K6" s="18"/>
      <c r="L6" s="19">
        <v>0.144</v>
      </c>
      <c r="M6" s="19">
        <v>0.1454</v>
      </c>
      <c r="N6" s="19">
        <v>0.148</v>
      </c>
      <c r="O6" s="19">
        <v>0.1487</v>
      </c>
      <c r="P6" s="19">
        <v>0.15</v>
      </c>
      <c r="Q6" s="19">
        <f>Q5/P5-1</f>
        <v>0.1514006423</v>
      </c>
      <c r="R6" s="1"/>
      <c r="S6" s="18"/>
      <c r="T6" s="19">
        <v>0.25</v>
      </c>
      <c r="U6" s="19">
        <v>0.255</v>
      </c>
      <c r="V6" s="19">
        <v>0.265</v>
      </c>
      <c r="W6" s="19">
        <v>0.28</v>
      </c>
      <c r="X6" s="19">
        <v>0.295</v>
      </c>
      <c r="Y6" s="20">
        <f>Y5/X5-1</f>
        <v>0.3300073927</v>
      </c>
      <c r="Z6" s="1"/>
      <c r="AA6" s="18"/>
      <c r="AB6" s="19">
        <v>0.133</v>
      </c>
      <c r="AC6" s="19">
        <v>0.137</v>
      </c>
      <c r="AD6" s="19">
        <v>0.143</v>
      </c>
      <c r="AE6" s="19">
        <v>0.148</v>
      </c>
      <c r="AF6" s="19">
        <v>0.155</v>
      </c>
      <c r="AG6" s="20">
        <f>AG5/AF5-1</f>
        <v>0.1606450627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8"/>
      <c r="AY6" s="19">
        <v>0.172</v>
      </c>
      <c r="AZ6" s="19">
        <v>0.16991279529493752</v>
      </c>
      <c r="BA6" s="19">
        <v>0.17619789475927883</v>
      </c>
      <c r="BB6" s="19">
        <v>0.18240191747041035</v>
      </c>
      <c r="BC6" s="19">
        <v>0.18972363887123667</v>
      </c>
      <c r="BD6" s="20">
        <v>0.20406040431911343</v>
      </c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ht="19.5" customHeight="1">
      <c r="A7" s="1"/>
      <c r="B7" s="21" t="s">
        <v>11</v>
      </c>
      <c r="C7" s="21"/>
      <c r="D7" s="22">
        <v>15098.4</v>
      </c>
      <c r="E7" s="22">
        <v>18299.793643999998</v>
      </c>
      <c r="F7" s="22">
        <v>22487.305907760317</v>
      </c>
      <c r="G7" s="22">
        <v>27540.474476630545</v>
      </c>
      <c r="H7" s="22">
        <v>33633.9833898712</v>
      </c>
      <c r="I7" s="23">
        <f>I8*I5</f>
        <v>41201.6</v>
      </c>
      <c r="J7" s="1"/>
      <c r="K7" s="21"/>
      <c r="L7" s="22">
        <v>7576.806412358623</v>
      </c>
      <c r="M7" s="22">
        <v>9652.20611807669</v>
      </c>
      <c r="N7" s="22">
        <v>12842.284989347492</v>
      </c>
      <c r="O7" s="22">
        <v>17232.34624140511</v>
      </c>
      <c r="P7" s="22">
        <v>21018.240491410776</v>
      </c>
      <c r="Q7" s="23">
        <f>Q8*Q5</f>
        <v>25929.01672</v>
      </c>
      <c r="R7" s="1"/>
      <c r="S7" s="21"/>
      <c r="T7" s="22">
        <v>668.8</v>
      </c>
      <c r="U7" s="22">
        <v>2343.0096999999996</v>
      </c>
      <c r="V7" s="22">
        <v>5966.813320875</v>
      </c>
      <c r="W7" s="22">
        <v>13877.325830720001</v>
      </c>
      <c r="X7" s="22">
        <v>21009.42269426</v>
      </c>
      <c r="Y7" s="23">
        <f>Y8*Y5</f>
        <v>34391</v>
      </c>
      <c r="Z7" s="1"/>
      <c r="AA7" s="21"/>
      <c r="AB7" s="22">
        <v>1239.4453333333338</v>
      </c>
      <c r="AC7" s="22">
        <v>1664.2164522333335</v>
      </c>
      <c r="AD7" s="22">
        <v>2364.8965574466</v>
      </c>
      <c r="AE7" s="22">
        <v>3246.077579069094</v>
      </c>
      <c r="AF7" s="22">
        <v>4158.225378787509</v>
      </c>
      <c r="AG7" s="23">
        <f>AG8*AG5</f>
        <v>5538.289556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21"/>
      <c r="AY7" s="22">
        <v>23715.840012358633</v>
      </c>
      <c r="AZ7" s="22">
        <v>30794.274397746685</v>
      </c>
      <c r="BA7" s="22">
        <v>42005.87318521679</v>
      </c>
      <c r="BB7" s="22">
        <v>59623.969822476385</v>
      </c>
      <c r="BC7" s="22">
        <v>76909.11418917823</v>
      </c>
      <c r="BD7" s="23">
        <v>103183.10358390806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ht="19.5" customHeight="1">
      <c r="A8" s="1"/>
      <c r="B8" s="24" t="s">
        <v>12</v>
      </c>
      <c r="C8" s="24" t="s">
        <v>13</v>
      </c>
      <c r="D8" s="25">
        <v>0.2931614306240534</v>
      </c>
      <c r="E8" s="25">
        <v>0.31</v>
      </c>
      <c r="F8" s="25">
        <v>0.332</v>
      </c>
      <c r="G8" s="25">
        <v>0.35400000000000004</v>
      </c>
      <c r="H8" s="25">
        <v>0.37600000000000006</v>
      </c>
      <c r="I8" s="26">
        <v>0.4</v>
      </c>
      <c r="J8" s="1"/>
      <c r="K8" s="24" t="s">
        <v>14</v>
      </c>
      <c r="L8" s="25">
        <v>0.17532804645045705</v>
      </c>
      <c r="M8" s="25">
        <v>0.195</v>
      </c>
      <c r="N8" s="25">
        <v>0.226</v>
      </c>
      <c r="O8" s="25">
        <v>0.264</v>
      </c>
      <c r="P8" s="25">
        <v>0.28</v>
      </c>
      <c r="Q8" s="26">
        <v>0.3</v>
      </c>
      <c r="R8" s="1"/>
      <c r="S8" s="24" t="s">
        <v>13</v>
      </c>
      <c r="T8" s="25">
        <v>0.027225727661306737</v>
      </c>
      <c r="U8" s="25">
        <v>0.076</v>
      </c>
      <c r="V8" s="25">
        <v>0.153</v>
      </c>
      <c r="W8" s="25">
        <v>0.278</v>
      </c>
      <c r="X8" s="25">
        <v>0.325</v>
      </c>
      <c r="Y8" s="26">
        <v>0.4</v>
      </c>
      <c r="Z8" s="1"/>
      <c r="AA8" s="24" t="s">
        <v>15</v>
      </c>
      <c r="AB8" s="25">
        <v>0.15665698310465134</v>
      </c>
      <c r="AC8" s="25">
        <v>0.185</v>
      </c>
      <c r="AD8" s="25">
        <v>0.23</v>
      </c>
      <c r="AE8" s="25">
        <v>0.275</v>
      </c>
      <c r="AF8" s="25">
        <v>0.305</v>
      </c>
      <c r="AG8" s="26">
        <v>0.35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24"/>
      <c r="AY8" s="25">
        <v>0.20311086862507474</v>
      </c>
      <c r="AZ8" s="25">
        <v>0.22542970151612826</v>
      </c>
      <c r="BA8" s="25">
        <v>0.2614392445131506</v>
      </c>
      <c r="BB8" s="25">
        <v>0.31384594806614063</v>
      </c>
      <c r="BC8" s="25">
        <v>0.3402728951307375</v>
      </c>
      <c r="BD8" s="26">
        <v>0.3791489509358092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ht="19.5" customHeight="1">
      <c r="A9" s="1"/>
      <c r="B9" s="1"/>
      <c r="C9" s="27"/>
      <c r="D9" s="27"/>
      <c r="E9" s="27"/>
      <c r="F9" s="27"/>
      <c r="G9" s="2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ht="19.5" customHeight="1">
      <c r="A10" s="1"/>
      <c r="B10" s="8" t="s">
        <v>16</v>
      </c>
      <c r="C10" s="27"/>
      <c r="D10" s="27"/>
      <c r="E10" s="27"/>
      <c r="F10" s="27"/>
      <c r="G10" s="27"/>
      <c r="H10" s="28"/>
      <c r="I10" s="2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ht="19.5" customHeight="1">
      <c r="A11" s="1"/>
      <c r="B11" s="29"/>
      <c r="C11" s="30"/>
      <c r="D11" s="31" t="s">
        <v>6</v>
      </c>
      <c r="E11" s="32">
        <v>2025.0</v>
      </c>
      <c r="F11" s="32">
        <v>2026.0</v>
      </c>
      <c r="G11" s="32">
        <v>2027.0</v>
      </c>
      <c r="H11" s="32">
        <v>2028.0</v>
      </c>
      <c r="I11" s="32">
        <v>2029.0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ht="19.5" customHeight="1">
      <c r="A12" s="1"/>
      <c r="B12" s="21" t="s">
        <v>17</v>
      </c>
      <c r="C12" s="21"/>
      <c r="D12" s="33">
        <v>0.055</v>
      </c>
      <c r="E12" s="34">
        <v>0.05</v>
      </c>
      <c r="F12" s="34">
        <v>0.05</v>
      </c>
      <c r="G12" s="34">
        <v>0.05</v>
      </c>
      <c r="H12" s="34">
        <v>0.05</v>
      </c>
      <c r="I12" s="35">
        <v>0.05</v>
      </c>
      <c r="J12" s="1"/>
      <c r="K12" s="1"/>
      <c r="L12" s="36"/>
      <c r="M12" s="36"/>
      <c r="N12" s="36"/>
      <c r="O12" s="36"/>
      <c r="P12" s="36"/>
      <c r="Q12" s="36"/>
      <c r="R12" s="1"/>
      <c r="S12" s="1"/>
      <c r="T12" s="36"/>
      <c r="U12" s="36"/>
      <c r="V12" s="36"/>
      <c r="W12" s="36"/>
      <c r="X12" s="36"/>
      <c r="Y12" s="36"/>
      <c r="Z12" s="1"/>
      <c r="AA12" s="1"/>
      <c r="AB12" s="36"/>
      <c r="AC12" s="36"/>
      <c r="AD12" s="36"/>
      <c r="AE12" s="36"/>
      <c r="AF12" s="36"/>
      <c r="AG12" s="36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36"/>
      <c r="AZ12" s="36"/>
      <c r="BA12" s="36"/>
      <c r="BB12" s="36"/>
      <c r="BC12" s="36"/>
      <c r="BD12" s="36"/>
      <c r="BE12" s="36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ht="19.5" customHeight="1">
      <c r="A13" s="1"/>
      <c r="B13" s="15" t="s">
        <v>18</v>
      </c>
      <c r="C13" s="15"/>
      <c r="D13" s="37">
        <v>0.065</v>
      </c>
      <c r="E13" s="38">
        <v>0.060000000000000005</v>
      </c>
      <c r="F13" s="38">
        <v>0.060000000000000005</v>
      </c>
      <c r="G13" s="38">
        <v>0.060000000000000005</v>
      </c>
      <c r="H13" s="38">
        <v>0.060000000000000005</v>
      </c>
      <c r="I13" s="38">
        <v>0.060000000000000005</v>
      </c>
      <c r="J13" s="1"/>
      <c r="K13" s="1"/>
      <c r="L13" s="1"/>
      <c r="M13" s="1"/>
      <c r="N13" s="1"/>
      <c r="O13" s="1"/>
      <c r="P13" s="1"/>
      <c r="Q13" s="1"/>
      <c r="R13" s="39"/>
      <c r="S13" s="3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ht="19.5" customHeight="1">
      <c r="A14" s="1"/>
      <c r="B14" s="21" t="s">
        <v>19</v>
      </c>
      <c r="C14" s="21"/>
      <c r="D14" s="40" t="s">
        <v>20</v>
      </c>
      <c r="E14" s="22">
        <v>1.0</v>
      </c>
      <c r="F14" s="22">
        <v>1.0</v>
      </c>
      <c r="G14" s="23">
        <v>1.0</v>
      </c>
      <c r="H14" s="23">
        <v>1.0</v>
      </c>
      <c r="I14" s="23">
        <v>1.0</v>
      </c>
      <c r="J14" s="1"/>
      <c r="K14" s="1"/>
      <c r="L14" s="36"/>
      <c r="M14" s="36"/>
      <c r="N14" s="36"/>
      <c r="O14" s="36"/>
      <c r="P14" s="36"/>
      <c r="Q14" s="36"/>
      <c r="R14" s="41"/>
      <c r="S14" s="41"/>
      <c r="T14" s="36"/>
      <c r="U14" s="36"/>
      <c r="V14" s="36"/>
      <c r="W14" s="36"/>
      <c r="X14" s="36"/>
      <c r="Y14" s="36"/>
      <c r="Z14" s="1"/>
      <c r="AA14" s="1"/>
      <c r="AB14" s="36"/>
      <c r="AC14" s="36"/>
      <c r="AD14" s="36"/>
      <c r="AE14" s="36"/>
      <c r="AF14" s="36"/>
      <c r="AG14" s="36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36"/>
      <c r="AZ14" s="36"/>
      <c r="BA14" s="36"/>
      <c r="BB14" s="36"/>
      <c r="BC14" s="36"/>
      <c r="BD14" s="36"/>
      <c r="BE14" s="36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ht="19.5" customHeight="1">
      <c r="A15" s="1"/>
      <c r="B15" s="21" t="s">
        <v>21</v>
      </c>
      <c r="C15" s="21"/>
      <c r="D15" s="40" t="s">
        <v>20</v>
      </c>
      <c r="E15" s="22">
        <v>100000.0</v>
      </c>
      <c r="F15" s="22">
        <v>100000.0</v>
      </c>
      <c r="G15" s="22">
        <v>100000.0</v>
      </c>
      <c r="H15" s="22">
        <v>100000.0</v>
      </c>
      <c r="I15" s="23">
        <v>100000.0</v>
      </c>
      <c r="J15" s="1"/>
      <c r="K15" s="1"/>
      <c r="L15" s="42"/>
      <c r="M15" s="42"/>
      <c r="N15" s="42"/>
      <c r="O15" s="42"/>
      <c r="P15" s="42"/>
      <c r="Q15" s="42"/>
      <c r="R15" s="41"/>
      <c r="S15" s="41"/>
      <c r="T15" s="42"/>
      <c r="U15" s="42"/>
      <c r="V15" s="42"/>
      <c r="W15" s="42"/>
      <c r="X15" s="42"/>
      <c r="Y15" s="42"/>
      <c r="Z15" s="1"/>
      <c r="AA15" s="1"/>
      <c r="AB15" s="42"/>
      <c r="AC15" s="42"/>
      <c r="AD15" s="42"/>
      <c r="AE15" s="42"/>
      <c r="AF15" s="42"/>
      <c r="AG15" s="42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42"/>
      <c r="AZ15" s="42"/>
      <c r="BA15" s="42"/>
      <c r="BB15" s="42"/>
      <c r="BC15" s="42"/>
      <c r="BD15" s="42"/>
      <c r="BE15" s="42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ht="19.5" customHeight="1">
      <c r="A16" s="1"/>
      <c r="B16" s="21" t="s">
        <v>22</v>
      </c>
      <c r="C16" s="21"/>
      <c r="D16" s="40" t="s">
        <v>20</v>
      </c>
      <c r="E16" s="43">
        <v>0.3</v>
      </c>
      <c r="F16" s="43">
        <v>0.3</v>
      </c>
      <c r="G16" s="44">
        <v>0.3</v>
      </c>
      <c r="H16" s="44">
        <v>0.3</v>
      </c>
      <c r="I16" s="44">
        <v>0.3</v>
      </c>
      <c r="J16" s="1"/>
      <c r="K16" s="1"/>
      <c r="L16" s="1"/>
      <c r="M16" s="1"/>
      <c r="N16" s="1"/>
      <c r="O16" s="41"/>
      <c r="P16" s="41"/>
      <c r="Q16" s="41"/>
      <c r="R16" s="41"/>
      <c r="S16" s="4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ht="19.5" customHeight="1">
      <c r="A17" s="1"/>
      <c r="B17" s="15" t="s">
        <v>23</v>
      </c>
      <c r="C17" s="15"/>
      <c r="D17" s="45">
        <v>27210.140895296434</v>
      </c>
      <c r="E17" s="46">
        <v>31342.45429259545</v>
      </c>
      <c r="F17" s="46">
        <v>36102.41131186052</v>
      </c>
      <c r="G17" s="46">
        <v>41585.355276385526</v>
      </c>
      <c r="H17" s="46">
        <v>47901.11471368828</v>
      </c>
      <c r="I17" s="46">
        <v>55176.20433497365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ht="19.5" customHeight="1">
      <c r="A18" s="1"/>
      <c r="B18" s="15" t="s">
        <v>24</v>
      </c>
      <c r="C18" s="15"/>
      <c r="D18" s="40" t="s">
        <v>20</v>
      </c>
      <c r="E18" s="22">
        <v>136.5</v>
      </c>
      <c r="F18" s="22">
        <v>126.0</v>
      </c>
      <c r="G18" s="23">
        <v>115.5</v>
      </c>
      <c r="H18" s="23">
        <v>105.0</v>
      </c>
      <c r="I18" s="23">
        <v>94.5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ht="19.5" customHeight="1">
      <c r="A19" s="1"/>
      <c r="B19" s="41" t="s">
        <v>25</v>
      </c>
      <c r="C19" s="41"/>
      <c r="D19" s="47">
        <v>75718.78044153067</v>
      </c>
      <c r="E19" s="48"/>
      <c r="F19" s="48"/>
      <c r="G19" s="49"/>
      <c r="H19" s="49"/>
      <c r="I19" s="4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ht="19.5" customHeight="1">
      <c r="A20" s="1"/>
      <c r="B20" s="1"/>
      <c r="C20" s="27"/>
      <c r="D20" s="27"/>
      <c r="E20" s="27"/>
      <c r="F20" s="27"/>
      <c r="G20" s="27"/>
      <c r="H20" s="2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ht="19.5" customHeight="1">
      <c r="A21" s="1"/>
      <c r="B21" s="8" t="s">
        <v>26</v>
      </c>
      <c r="C21" s="27"/>
      <c r="D21" s="27"/>
      <c r="E21" s="27"/>
      <c r="F21" s="27"/>
      <c r="G21" s="27"/>
      <c r="H21" s="28"/>
      <c r="I21" s="28"/>
      <c r="J21" s="1"/>
      <c r="K21" s="50"/>
      <c r="L21" s="5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ht="19.5" customHeight="1">
      <c r="A22" s="1"/>
      <c r="B22" s="30"/>
      <c r="C22" s="31" t="s">
        <v>27</v>
      </c>
      <c r="D22" s="31" t="s">
        <v>6</v>
      </c>
      <c r="E22" s="32">
        <v>2025.0</v>
      </c>
      <c r="F22" s="32">
        <v>2026.0</v>
      </c>
      <c r="G22" s="32">
        <v>2027.0</v>
      </c>
      <c r="H22" s="32">
        <v>2028.0</v>
      </c>
      <c r="I22" s="32">
        <v>2029.0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ht="19.5" customHeight="1">
      <c r="A23" s="1"/>
      <c r="B23" s="21" t="s">
        <v>28</v>
      </c>
      <c r="C23" s="52">
        <v>110.0</v>
      </c>
      <c r="D23" s="52">
        <v>110.0</v>
      </c>
      <c r="E23" s="52">
        <v>115.5</v>
      </c>
      <c r="F23" s="52">
        <v>121.0</v>
      </c>
      <c r="G23" s="52">
        <v>126.5</v>
      </c>
      <c r="H23" s="52">
        <v>132.0</v>
      </c>
      <c r="I23" s="53">
        <v>137.5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ht="19.5" customHeight="1">
      <c r="A24" s="1"/>
      <c r="B24" s="54" t="s">
        <v>29</v>
      </c>
      <c r="C24" s="22">
        <v>1100.0</v>
      </c>
      <c r="D24" s="22">
        <v>1100.0</v>
      </c>
      <c r="E24" s="22">
        <v>1210.0</v>
      </c>
      <c r="F24" s="22">
        <v>1320.0</v>
      </c>
      <c r="G24" s="22">
        <v>1430.0</v>
      </c>
      <c r="H24" s="22">
        <v>1540.0</v>
      </c>
      <c r="I24" s="23">
        <v>1650.0</v>
      </c>
      <c r="J24" s="1"/>
      <c r="K24" s="1"/>
      <c r="L24" s="1"/>
      <c r="M24" s="1"/>
      <c r="N24" s="1"/>
      <c r="O24" s="41"/>
      <c r="P24" s="41"/>
      <c r="Q24" s="41"/>
      <c r="R24" s="41"/>
      <c r="S24" s="41"/>
      <c r="T24" s="55"/>
      <c r="U24" s="55"/>
      <c r="V24" s="55"/>
      <c r="W24" s="55"/>
      <c r="X24" s="55"/>
      <c r="Y24" s="55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ht="19.5" customHeight="1">
      <c r="A25" s="1"/>
      <c r="B25" s="21" t="s">
        <v>30</v>
      </c>
      <c r="C25" s="22">
        <v>77.0</v>
      </c>
      <c r="D25" s="22">
        <v>77.0</v>
      </c>
      <c r="E25" s="22">
        <v>88.0</v>
      </c>
      <c r="F25" s="22">
        <v>99.0</v>
      </c>
      <c r="G25" s="22">
        <v>110.0</v>
      </c>
      <c r="H25" s="22">
        <v>121.0</v>
      </c>
      <c r="I25" s="23">
        <v>132.0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ht="19.5" customHeight="1">
      <c r="A26" s="1"/>
      <c r="B26" s="21" t="s">
        <v>31</v>
      </c>
      <c r="C26" s="22">
        <v>22.0</v>
      </c>
      <c r="D26" s="22">
        <v>22.0</v>
      </c>
      <c r="E26" s="22">
        <v>23.1</v>
      </c>
      <c r="F26" s="22">
        <v>24.255000000000003</v>
      </c>
      <c r="G26" s="22">
        <v>25.467750000000002</v>
      </c>
      <c r="H26" s="22">
        <v>26.741137500000004</v>
      </c>
      <c r="I26" s="23">
        <v>28.078194375000002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ht="19.5" customHeight="1">
      <c r="A27" s="1"/>
      <c r="B27" s="21" t="s">
        <v>32</v>
      </c>
      <c r="C27" s="22">
        <v>1210.0</v>
      </c>
      <c r="D27" s="22">
        <v>1210.0</v>
      </c>
      <c r="E27" s="22">
        <v>1320.0</v>
      </c>
      <c r="F27" s="22">
        <v>1320.0</v>
      </c>
      <c r="G27" s="22">
        <v>1320.0</v>
      </c>
      <c r="H27" s="22">
        <v>1320.0</v>
      </c>
      <c r="I27" s="23">
        <v>1320.0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ht="19.5" customHeight="1">
      <c r="A28" s="1"/>
      <c r="B28" s="54" t="s">
        <v>33</v>
      </c>
      <c r="C28" s="22">
        <v>2.2</v>
      </c>
      <c r="D28" s="22">
        <v>2.2</v>
      </c>
      <c r="E28" s="22">
        <v>3.3</v>
      </c>
      <c r="F28" s="22">
        <v>3.3</v>
      </c>
      <c r="G28" s="22">
        <v>3.3</v>
      </c>
      <c r="H28" s="22">
        <v>3.3</v>
      </c>
      <c r="I28" s="23">
        <v>3.3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ht="19.5" customHeight="1">
      <c r="A29" s="1"/>
      <c r="B29" s="54" t="s">
        <v>34</v>
      </c>
      <c r="C29" s="22">
        <v>1.1</v>
      </c>
      <c r="D29" s="22">
        <v>1.1</v>
      </c>
      <c r="E29" s="22">
        <v>2.2</v>
      </c>
      <c r="F29" s="22">
        <v>2.2</v>
      </c>
      <c r="G29" s="22">
        <v>2.2</v>
      </c>
      <c r="H29" s="22">
        <v>2.2</v>
      </c>
      <c r="I29" s="23">
        <v>2.2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ht="19.5" customHeight="1">
      <c r="A30" s="1"/>
      <c r="B30" s="54" t="s">
        <v>35</v>
      </c>
      <c r="C30" s="48">
        <v>0.0</v>
      </c>
      <c r="D30" s="48">
        <v>10.0</v>
      </c>
      <c r="E30" s="48">
        <v>0.0</v>
      </c>
      <c r="F30" s="48">
        <v>0.0</v>
      </c>
      <c r="G30" s="48">
        <v>0.0</v>
      </c>
      <c r="H30" s="48">
        <v>0.0</v>
      </c>
      <c r="I30" s="49">
        <v>0.0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ht="19.5" customHeight="1">
      <c r="A31" s="1"/>
      <c r="B31" s="54" t="s">
        <v>36</v>
      </c>
      <c r="C31" s="48"/>
      <c r="D31" s="48"/>
      <c r="E31" s="48"/>
      <c r="F31" s="48"/>
      <c r="G31" s="48"/>
      <c r="H31" s="48"/>
      <c r="I31" s="4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ht="19.5" customHeight="1">
      <c r="A32" s="1"/>
      <c r="B32" s="56" t="s">
        <v>37</v>
      </c>
      <c r="C32" s="48">
        <v>600.0</v>
      </c>
      <c r="D32" s="48">
        <v>600.0</v>
      </c>
      <c r="E32" s="48">
        <v>600.0</v>
      </c>
      <c r="F32" s="48">
        <v>0.0</v>
      </c>
      <c r="G32" s="48">
        <v>0.0</v>
      </c>
      <c r="H32" s="48">
        <v>0.0</v>
      </c>
      <c r="I32" s="49">
        <v>0.0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ht="19.5" customHeight="1">
      <c r="A33" s="1"/>
      <c r="B33" s="57" t="s">
        <v>38</v>
      </c>
      <c r="C33" s="48">
        <v>600.0</v>
      </c>
      <c r="D33" s="48">
        <v>600.0</v>
      </c>
      <c r="E33" s="48">
        <v>0.0</v>
      </c>
      <c r="F33" s="48">
        <v>0.0</v>
      </c>
      <c r="G33" s="48">
        <v>0.0</v>
      </c>
      <c r="H33" s="48">
        <v>0.0</v>
      </c>
      <c r="I33" s="49">
        <v>0.0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ht="19.5" customHeight="1">
      <c r="A34" s="1"/>
      <c r="B34" s="41"/>
      <c r="C34" s="58"/>
      <c r="D34" s="58"/>
      <c r="E34" s="58"/>
      <c r="F34" s="58"/>
      <c r="G34" s="58"/>
      <c r="H34" s="58"/>
      <c r="I34" s="58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ht="19.5" customHeight="1">
      <c r="A35" s="1"/>
      <c r="B35" s="41" t="s">
        <v>39</v>
      </c>
      <c r="C35" s="58"/>
      <c r="D35" s="58"/>
      <c r="E35" s="58"/>
      <c r="F35" s="58"/>
      <c r="G35" s="58"/>
      <c r="H35" s="58"/>
      <c r="I35" s="5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ht="19.5" customHeight="1">
      <c r="A36" s="1"/>
      <c r="B36" s="1"/>
      <c r="C36" s="1"/>
      <c r="D36" s="1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ht="19.5" customHeight="1">
      <c r="A37" s="1"/>
      <c r="B37" s="8" t="s">
        <v>40</v>
      </c>
      <c r="C37" s="27"/>
      <c r="D37" s="27"/>
      <c r="E37" s="27"/>
      <c r="F37" s="27"/>
      <c r="G37" s="27"/>
      <c r="H37" s="2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ht="19.5" customHeight="1">
      <c r="A38" s="1"/>
      <c r="B38" s="59"/>
      <c r="C38" s="60"/>
      <c r="D38" s="60"/>
      <c r="E38" s="60"/>
      <c r="F38" s="60"/>
      <c r="G38" s="60"/>
      <c r="H38" s="60"/>
      <c r="I38" s="60"/>
      <c r="J38" s="1"/>
      <c r="K38" s="28"/>
      <c r="L38" s="28"/>
      <c r="M38" s="28"/>
      <c r="N38" s="28"/>
      <c r="O38" s="28"/>
      <c r="P38" s="28"/>
      <c r="Q38" s="28"/>
      <c r="R38" s="1"/>
      <c r="S38" s="28"/>
      <c r="T38" s="28"/>
      <c r="U38" s="28"/>
      <c r="V38" s="28"/>
      <c r="W38" s="28"/>
      <c r="X38" s="28"/>
      <c r="Y38" s="28"/>
      <c r="Z38" s="1"/>
      <c r="AA38" s="28"/>
      <c r="AB38" s="28"/>
      <c r="AC38" s="28"/>
      <c r="AD38" s="28"/>
      <c r="AE38" s="28"/>
      <c r="AF38" s="28"/>
      <c r="AG38" s="28"/>
      <c r="AH38" s="1"/>
      <c r="AI38" s="61"/>
      <c r="AJ38" s="61"/>
      <c r="AK38" s="61"/>
      <c r="AL38" s="61"/>
      <c r="AM38" s="61"/>
      <c r="AN38" s="61"/>
      <c r="AO38" s="61"/>
      <c r="AP38" s="1"/>
      <c r="AQ38" s="61"/>
      <c r="AR38" s="61"/>
      <c r="AS38" s="61"/>
      <c r="AT38" s="61"/>
      <c r="AU38" s="1"/>
      <c r="AV38" s="1"/>
      <c r="AW38" s="1"/>
      <c r="AX38" s="28"/>
      <c r="AY38" s="28"/>
      <c r="AZ38" s="28"/>
      <c r="BA38" s="28"/>
      <c r="BB38" s="28"/>
      <c r="BC38" s="28"/>
      <c r="BD38" s="28"/>
      <c r="BE38" s="1"/>
      <c r="BF38" s="28"/>
      <c r="BG38" s="28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ht="19.5" customHeight="1">
      <c r="A39" s="1"/>
      <c r="B39" s="8" t="s">
        <v>41</v>
      </c>
      <c r="C39" s="1"/>
      <c r="D39" s="1"/>
      <c r="E39" s="62"/>
      <c r="F39" s="63"/>
      <c r="G39" s="63"/>
      <c r="H39" s="63"/>
      <c r="I39" s="63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64"/>
      <c r="AJ39" s="65"/>
      <c r="AK39" s="65"/>
      <c r="AL39" s="65"/>
      <c r="AM39" s="65"/>
      <c r="AN39" s="65"/>
      <c r="AO39" s="65"/>
      <c r="AP39" s="1"/>
      <c r="AQ39" s="64"/>
      <c r="AR39" s="65"/>
      <c r="AS39" s="65"/>
      <c r="AT39" s="65"/>
      <c r="AU39" s="66"/>
      <c r="AV39" s="66"/>
      <c r="AW39" s="66"/>
      <c r="AX39" s="50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50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50"/>
      <c r="BV39" s="1"/>
      <c r="BW39" s="1"/>
      <c r="BX39" s="1"/>
      <c r="BY39" s="1"/>
      <c r="BZ39" s="1"/>
      <c r="CA39" s="1"/>
      <c r="CB39" s="1"/>
      <c r="CC39" s="1"/>
      <c r="CD39" s="1"/>
    </row>
    <row r="40" ht="19.5" customHeight="1">
      <c r="A40" s="1"/>
      <c r="B40" s="67"/>
      <c r="C40" s="9" t="s">
        <v>1</v>
      </c>
      <c r="D40" s="10"/>
      <c r="E40" s="10"/>
      <c r="F40" s="10"/>
      <c r="G40" s="10"/>
      <c r="H40" s="10"/>
      <c r="I40" s="11"/>
      <c r="J40" s="1"/>
      <c r="K40" s="9" t="s">
        <v>2</v>
      </c>
      <c r="L40" s="10"/>
      <c r="M40" s="10"/>
      <c r="N40" s="10"/>
      <c r="O40" s="10"/>
      <c r="P40" s="10"/>
      <c r="Q40" s="11"/>
      <c r="R40" s="1"/>
      <c r="S40" s="9" t="s">
        <v>3</v>
      </c>
      <c r="T40" s="10"/>
      <c r="U40" s="10"/>
      <c r="V40" s="10"/>
      <c r="W40" s="10"/>
      <c r="X40" s="10"/>
      <c r="Y40" s="11"/>
      <c r="Z40" s="1"/>
      <c r="AA40" s="9" t="s">
        <v>4</v>
      </c>
      <c r="AB40" s="10"/>
      <c r="AC40" s="10"/>
      <c r="AD40" s="10"/>
      <c r="AE40" s="10"/>
      <c r="AF40" s="10"/>
      <c r="AG40" s="11"/>
      <c r="AH40" s="1"/>
      <c r="AI40" s="68" t="s">
        <v>42</v>
      </c>
      <c r="AJ40" s="69"/>
      <c r="AK40" s="69"/>
      <c r="AL40" s="69"/>
      <c r="AM40" s="69"/>
      <c r="AN40" s="69"/>
      <c r="AO40" s="69"/>
      <c r="AP40" s="1"/>
      <c r="AQ40" s="70" t="s">
        <v>43</v>
      </c>
      <c r="AR40" s="69"/>
      <c r="AS40" s="69"/>
      <c r="AT40" s="69"/>
      <c r="AU40" s="69"/>
      <c r="AV40" s="69"/>
      <c r="AW40" s="69"/>
      <c r="AX40" s="71" t="s">
        <v>44</v>
      </c>
      <c r="BF40" s="72" t="s">
        <v>45</v>
      </c>
      <c r="BH40" s="73"/>
      <c r="BL40" s="74"/>
      <c r="BM40" s="74"/>
      <c r="BN40" s="1"/>
      <c r="BO40" s="74"/>
      <c r="BT40" s="1"/>
      <c r="BU40" s="75"/>
      <c r="BY40" s="1"/>
      <c r="BZ40" s="74"/>
    </row>
    <row r="41" ht="19.5" customHeight="1">
      <c r="A41" s="1"/>
      <c r="B41" s="13"/>
      <c r="C41" s="13" t="s">
        <v>27</v>
      </c>
      <c r="D41" s="13" t="s">
        <v>6</v>
      </c>
      <c r="E41" s="14">
        <v>2025.0</v>
      </c>
      <c r="F41" s="14">
        <v>2026.0</v>
      </c>
      <c r="G41" s="14">
        <v>2027.0</v>
      </c>
      <c r="H41" s="14">
        <v>2028.0</v>
      </c>
      <c r="I41" s="14">
        <v>2029.0</v>
      </c>
      <c r="J41" s="1"/>
      <c r="K41" s="13" t="s">
        <v>27</v>
      </c>
      <c r="L41" s="13" t="s">
        <v>6</v>
      </c>
      <c r="M41" s="14">
        <v>2025.0</v>
      </c>
      <c r="N41" s="14">
        <v>2026.0</v>
      </c>
      <c r="O41" s="14">
        <v>2027.0</v>
      </c>
      <c r="P41" s="14">
        <v>2028.0</v>
      </c>
      <c r="Q41" s="14">
        <v>2029.0</v>
      </c>
      <c r="R41" s="1"/>
      <c r="S41" s="13" t="s">
        <v>27</v>
      </c>
      <c r="T41" s="13" t="s">
        <v>6</v>
      </c>
      <c r="U41" s="14">
        <v>2025.0</v>
      </c>
      <c r="V41" s="14">
        <v>2026.0</v>
      </c>
      <c r="W41" s="14">
        <v>2027.0</v>
      </c>
      <c r="X41" s="14">
        <v>2028.0</v>
      </c>
      <c r="Y41" s="14">
        <v>2029.0</v>
      </c>
      <c r="Z41" s="1"/>
      <c r="AA41" s="13" t="s">
        <v>27</v>
      </c>
      <c r="AB41" s="13" t="s">
        <v>6</v>
      </c>
      <c r="AC41" s="14">
        <v>2025.0</v>
      </c>
      <c r="AD41" s="14">
        <v>2026.0</v>
      </c>
      <c r="AE41" s="14">
        <v>2027.0</v>
      </c>
      <c r="AF41" s="14">
        <v>2028.0</v>
      </c>
      <c r="AG41" s="14">
        <v>2029.0</v>
      </c>
      <c r="AH41" s="1"/>
      <c r="AI41" s="76" t="s">
        <v>46</v>
      </c>
      <c r="AJ41" s="76" t="s">
        <v>47</v>
      </c>
      <c r="AK41" s="77">
        <v>46022.0</v>
      </c>
      <c r="AL41" s="77">
        <v>46387.0</v>
      </c>
      <c r="AM41" s="77">
        <v>46752.0</v>
      </c>
      <c r="AN41" s="77">
        <v>47118.0</v>
      </c>
      <c r="AO41" s="77">
        <v>47483.0</v>
      </c>
      <c r="AP41" s="1"/>
      <c r="AQ41" s="78" t="s">
        <v>46</v>
      </c>
      <c r="AR41" s="78" t="s">
        <v>47</v>
      </c>
      <c r="AS41" s="79">
        <v>46022.0</v>
      </c>
      <c r="AT41" s="79">
        <v>46387.0</v>
      </c>
      <c r="AU41" s="79">
        <v>46752.0</v>
      </c>
      <c r="AV41" s="79">
        <v>47118.0</v>
      </c>
      <c r="AW41" s="79">
        <v>47483.0</v>
      </c>
      <c r="AX41" s="80" t="s">
        <v>48</v>
      </c>
      <c r="AY41" s="80" t="s">
        <v>49</v>
      </c>
      <c r="AZ41" s="80" t="s">
        <v>50</v>
      </c>
      <c r="BA41" s="80" t="s">
        <v>51</v>
      </c>
      <c r="BB41" s="80" t="s">
        <v>52</v>
      </c>
      <c r="BC41" s="80" t="s">
        <v>53</v>
      </c>
      <c r="BD41" s="80" t="s">
        <v>54</v>
      </c>
      <c r="BE41" s="81" t="s">
        <v>55</v>
      </c>
      <c r="BF41" s="72" t="s">
        <v>56</v>
      </c>
      <c r="BG41" s="72" t="s">
        <v>57</v>
      </c>
      <c r="BH41" s="1"/>
      <c r="BI41" s="39"/>
      <c r="BJ41" s="39"/>
      <c r="BK41" s="39"/>
      <c r="BL41" s="39"/>
      <c r="BM41" s="39"/>
      <c r="BN41" s="1"/>
      <c r="BO41" s="39"/>
      <c r="BP41" s="39"/>
      <c r="BQ41" s="39"/>
      <c r="BR41" s="39"/>
      <c r="BS41" s="39"/>
      <c r="BT41" s="1"/>
      <c r="BU41" s="39"/>
      <c r="BV41" s="39"/>
      <c r="BW41" s="39"/>
      <c r="BX41" s="39"/>
      <c r="BY41" s="1"/>
      <c r="BZ41" s="39"/>
      <c r="CA41" s="39"/>
      <c r="CB41" s="39"/>
      <c r="CC41" s="39"/>
      <c r="CD41" s="39"/>
    </row>
    <row r="42" ht="19.5" customHeight="1">
      <c r="A42" s="1"/>
      <c r="B42" s="82" t="s">
        <v>58</v>
      </c>
      <c r="C42" s="83">
        <f t="shared" ref="C42:I42" si="1">SUM(C43:C47)</f>
        <v>51450</v>
      </c>
      <c r="D42" s="83">
        <f t="shared" si="1"/>
        <v>51502</v>
      </c>
      <c r="E42" s="83">
        <f t="shared" si="1"/>
        <v>59308.19868</v>
      </c>
      <c r="F42" s="83">
        <f t="shared" si="1"/>
        <v>68315.2941</v>
      </c>
      <c r="G42" s="83">
        <f t="shared" si="1"/>
        <v>78690.47171</v>
      </c>
      <c r="H42" s="83">
        <f t="shared" si="1"/>
        <v>90641.55608</v>
      </c>
      <c r="I42" s="83">
        <f t="shared" si="1"/>
        <v>104407.9464</v>
      </c>
      <c r="J42" s="1"/>
      <c r="K42" s="84">
        <f t="shared" ref="K42:Q42" si="2">SUM(K43:K47)</f>
        <v>42500</v>
      </c>
      <c r="L42" s="84">
        <f t="shared" si="2"/>
        <v>43215.02786</v>
      </c>
      <c r="M42" s="84">
        <f t="shared" si="2"/>
        <v>51144.98547</v>
      </c>
      <c r="N42" s="84">
        <f t="shared" si="2"/>
        <v>60531.07345</v>
      </c>
      <c r="O42" s="84">
        <f t="shared" si="2"/>
        <v>71640.85548</v>
      </c>
      <c r="P42" s="84">
        <f t="shared" si="2"/>
        <v>84791.09414</v>
      </c>
      <c r="Q42" s="85">
        <f t="shared" si="2"/>
        <v>100356.8038</v>
      </c>
      <c r="R42" s="1"/>
      <c r="S42" s="84">
        <f t="shared" ref="S42:Y42" si="3">SUM(S43:S47)</f>
        <v>23700</v>
      </c>
      <c r="T42" s="84">
        <f t="shared" si="3"/>
        <v>24565</v>
      </c>
      <c r="U42" s="84">
        <f t="shared" si="3"/>
        <v>29797.345</v>
      </c>
      <c r="V42" s="84">
        <f t="shared" si="3"/>
        <v>37246.68125</v>
      </c>
      <c r="W42" s="84">
        <f t="shared" si="3"/>
        <v>47675.752</v>
      </c>
      <c r="X42" s="84">
        <f t="shared" si="3"/>
        <v>63408.75016</v>
      </c>
      <c r="Y42" s="86">
        <f t="shared" si="3"/>
        <v>85601.81272</v>
      </c>
      <c r="Z42" s="1"/>
      <c r="AA42" s="84">
        <f t="shared" ref="AA42:AG42" si="4">SUM(AA43:AA47)</f>
        <v>8500</v>
      </c>
      <c r="AB42" s="84">
        <f t="shared" si="4"/>
        <v>7911.842222</v>
      </c>
      <c r="AC42" s="84">
        <f t="shared" si="4"/>
        <v>8873.131052</v>
      </c>
      <c r="AD42" s="84">
        <f t="shared" si="4"/>
        <v>9951.216475</v>
      </c>
      <c r="AE42" s="84">
        <f t="shared" si="4"/>
        <v>11160.28928</v>
      </c>
      <c r="AF42" s="84">
        <f t="shared" si="4"/>
        <v>12516.26442</v>
      </c>
      <c r="AG42" s="86">
        <f t="shared" si="4"/>
        <v>14036.99055</v>
      </c>
      <c r="AH42" s="1"/>
      <c r="AI42" s="87">
        <f t="shared" ref="AI42:AO42" si="5">SUM(AI43:AI47)</f>
        <v>2522.3</v>
      </c>
      <c r="AJ42" s="87">
        <f t="shared" si="5"/>
        <v>2522.3</v>
      </c>
      <c r="AK42" s="87">
        <f t="shared" si="5"/>
        <v>2762.1</v>
      </c>
      <c r="AL42" s="87">
        <f t="shared" si="5"/>
        <v>2889.755</v>
      </c>
      <c r="AM42" s="87">
        <f t="shared" si="5"/>
        <v>3017.46775</v>
      </c>
      <c r="AN42" s="87">
        <f t="shared" si="5"/>
        <v>3145.241138</v>
      </c>
      <c r="AO42" s="87">
        <f t="shared" si="5"/>
        <v>3273.078194</v>
      </c>
      <c r="AP42" s="1"/>
      <c r="AQ42" s="88">
        <f t="shared" ref="AQ42:AW42" si="6">C42+K42+S42+AI42</f>
        <v>120172.3</v>
      </c>
      <c r="AR42" s="88">
        <f t="shared" si="6"/>
        <v>121804.3279</v>
      </c>
      <c r="AS42" s="88">
        <f t="shared" si="6"/>
        <v>143012.6292</v>
      </c>
      <c r="AT42" s="88">
        <f t="shared" si="6"/>
        <v>168982.8038</v>
      </c>
      <c r="AU42" s="88">
        <f t="shared" si="6"/>
        <v>201024.5469</v>
      </c>
      <c r="AV42" s="88">
        <f t="shared" si="6"/>
        <v>241986.6415</v>
      </c>
      <c r="AW42" s="88">
        <f t="shared" si="6"/>
        <v>293639.6412</v>
      </c>
      <c r="AX42" s="89">
        <f t="shared" ref="AX42:AX62" si="11">D42-C42</f>
        <v>52</v>
      </c>
      <c r="AY42" s="90">
        <f t="shared" ref="AY42:AY43" si="12">(D42-C42)/C42</f>
        <v>0.00101068999</v>
      </c>
      <c r="AZ42" s="89">
        <f t="shared" ref="AZ42:AZ62" si="13">L42-K42</f>
        <v>715.0278621</v>
      </c>
      <c r="BA42" s="90">
        <f>(L42-K42)/K42*100</f>
        <v>1.682418499</v>
      </c>
      <c r="BB42" s="89">
        <f t="shared" ref="BB42:BB62" si="14">T42-S42</f>
        <v>865</v>
      </c>
      <c r="BC42" s="90">
        <f>(T42-S42)/S42*100</f>
        <v>3.64978903</v>
      </c>
      <c r="BD42" s="89">
        <f t="shared" ref="BD42:BD62" si="15">AB42-AA42</f>
        <v>-588.1577778</v>
      </c>
      <c r="BE42" s="91">
        <f>(AB42-AA42)/AA42*100</f>
        <v>-6.919503268</v>
      </c>
      <c r="BF42" s="92">
        <f t="shared" ref="BF42:BG42" si="7">AX42+AZ42+BB42+BD42</f>
        <v>1043.870084</v>
      </c>
      <c r="BG42" s="93">
        <f t="shared" si="7"/>
        <v>-1.586285049</v>
      </c>
      <c r="BH42" s="1"/>
      <c r="BI42" s="94"/>
      <c r="BJ42" s="94"/>
      <c r="BK42" s="94"/>
      <c r="BL42" s="94"/>
      <c r="BM42" s="94"/>
      <c r="BN42" s="1"/>
      <c r="BO42" s="95"/>
      <c r="BP42" s="95"/>
      <c r="BQ42" s="95"/>
      <c r="BR42" s="95"/>
      <c r="BS42" s="95"/>
      <c r="BT42" s="1"/>
      <c r="BU42" s="94"/>
      <c r="BV42" s="94"/>
      <c r="BW42" s="94"/>
      <c r="BX42" s="94"/>
      <c r="BY42" s="1"/>
      <c r="BZ42" s="95"/>
      <c r="CA42" s="95"/>
      <c r="CB42" s="95"/>
      <c r="CC42" s="95"/>
      <c r="CD42" s="95"/>
    </row>
    <row r="43" ht="19.5" customHeight="1">
      <c r="A43" s="1"/>
      <c r="B43" s="96" t="s">
        <v>59</v>
      </c>
      <c r="C43" s="97">
        <v>51450.0</v>
      </c>
      <c r="D43" s="97">
        <v>51502.0</v>
      </c>
      <c r="E43" s="98">
        <f t="shared" ref="E43:I43" si="8">E74*$D$75/1000</f>
        <v>59308.19868</v>
      </c>
      <c r="F43" s="98">
        <f t="shared" si="8"/>
        <v>68315.2941</v>
      </c>
      <c r="G43" s="98">
        <f t="shared" si="8"/>
        <v>78690.47171</v>
      </c>
      <c r="H43" s="98">
        <f t="shared" si="8"/>
        <v>90641.55608</v>
      </c>
      <c r="I43" s="98">
        <f t="shared" si="8"/>
        <v>104407.9464</v>
      </c>
      <c r="J43" s="1"/>
      <c r="K43" s="99">
        <v>0.0</v>
      </c>
      <c r="L43" s="99">
        <v>0.0</v>
      </c>
      <c r="M43" s="98">
        <v>0.0</v>
      </c>
      <c r="N43" s="98">
        <v>0.0</v>
      </c>
      <c r="O43" s="98">
        <v>0.0</v>
      </c>
      <c r="P43" s="98">
        <v>0.0</v>
      </c>
      <c r="Q43" s="98">
        <v>0.0</v>
      </c>
      <c r="R43" s="1"/>
      <c r="S43" s="99">
        <v>0.0</v>
      </c>
      <c r="T43" s="100">
        <v>0.0</v>
      </c>
      <c r="U43" s="98">
        <v>0.0</v>
      </c>
      <c r="V43" s="98">
        <v>0.0</v>
      </c>
      <c r="W43" s="98">
        <v>0.0</v>
      </c>
      <c r="X43" s="98">
        <v>0.0</v>
      </c>
      <c r="Y43" s="98">
        <v>0.0</v>
      </c>
      <c r="Z43" s="1"/>
      <c r="AA43" s="99">
        <v>0.0</v>
      </c>
      <c r="AB43" s="100">
        <v>0.0</v>
      </c>
      <c r="AC43" s="98">
        <v>0.0</v>
      </c>
      <c r="AD43" s="98">
        <v>0.0</v>
      </c>
      <c r="AE43" s="98">
        <v>0.0</v>
      </c>
      <c r="AF43" s="98">
        <v>0.0</v>
      </c>
      <c r="AG43" s="98">
        <v>0.0</v>
      </c>
      <c r="AH43" s="1"/>
      <c r="AI43" s="87">
        <f t="shared" ref="AI43:AO43" si="9">C23+C26+C28</f>
        <v>134.2</v>
      </c>
      <c r="AJ43" s="87">
        <f t="shared" si="9"/>
        <v>134.2</v>
      </c>
      <c r="AK43" s="87">
        <f t="shared" si="9"/>
        <v>141.9</v>
      </c>
      <c r="AL43" s="87">
        <f t="shared" si="9"/>
        <v>148.555</v>
      </c>
      <c r="AM43" s="87">
        <f t="shared" si="9"/>
        <v>155.26775</v>
      </c>
      <c r="AN43" s="87">
        <f t="shared" si="9"/>
        <v>162.0411375</v>
      </c>
      <c r="AO43" s="87">
        <f t="shared" si="9"/>
        <v>168.8781944</v>
      </c>
      <c r="AP43" s="1"/>
      <c r="AQ43" s="88">
        <f t="shared" ref="AQ43:AW43" si="10">C43+K43+S43+AI43</f>
        <v>51584.2</v>
      </c>
      <c r="AR43" s="88">
        <f t="shared" si="10"/>
        <v>51636.2</v>
      </c>
      <c r="AS43" s="88">
        <f t="shared" si="10"/>
        <v>59450.09868</v>
      </c>
      <c r="AT43" s="88">
        <f t="shared" si="10"/>
        <v>68463.8491</v>
      </c>
      <c r="AU43" s="88">
        <f t="shared" si="10"/>
        <v>78845.73946</v>
      </c>
      <c r="AV43" s="88">
        <f t="shared" si="10"/>
        <v>90803.59721</v>
      </c>
      <c r="AW43" s="88">
        <f t="shared" si="10"/>
        <v>104576.8246</v>
      </c>
      <c r="AX43" s="89">
        <f t="shared" si="11"/>
        <v>52</v>
      </c>
      <c r="AY43" s="90">
        <f t="shared" si="12"/>
        <v>0.00101068999</v>
      </c>
      <c r="AZ43" s="89">
        <f t="shared" si="13"/>
        <v>0</v>
      </c>
      <c r="BA43" s="101" t="s">
        <v>20</v>
      </c>
      <c r="BB43" s="89">
        <f t="shared" si="14"/>
        <v>0</v>
      </c>
      <c r="BC43" s="101" t="s">
        <v>20</v>
      </c>
      <c r="BD43" s="89">
        <f t="shared" si="15"/>
        <v>0</v>
      </c>
      <c r="BE43" s="102" t="s">
        <v>20</v>
      </c>
      <c r="BF43" s="92">
        <f t="shared" ref="BF43:BF62" si="18">AX43+AZ43+BB43+BD43</f>
        <v>52</v>
      </c>
      <c r="BG43" s="93">
        <f>AY43</f>
        <v>0.00101068999</v>
      </c>
      <c r="BH43" s="1"/>
      <c r="BI43" s="1"/>
      <c r="BJ43" s="1"/>
      <c r="BK43" s="1"/>
      <c r="BL43" s="1"/>
      <c r="BM43" s="1"/>
      <c r="BN43" s="1"/>
      <c r="BO43" s="103"/>
      <c r="BP43" s="103"/>
      <c r="BQ43" s="103"/>
      <c r="BR43" s="103"/>
      <c r="BS43" s="103"/>
      <c r="BT43" s="1"/>
      <c r="BU43" s="58"/>
      <c r="BV43" s="58"/>
      <c r="BW43" s="58"/>
      <c r="BX43" s="58"/>
      <c r="BY43" s="1"/>
      <c r="BZ43" s="58"/>
      <c r="CA43" s="58"/>
      <c r="CB43" s="58"/>
      <c r="CC43" s="58"/>
      <c r="CD43" s="58"/>
    </row>
    <row r="44" ht="19.5" customHeight="1">
      <c r="A44" s="1"/>
      <c r="B44" s="96" t="s">
        <v>60</v>
      </c>
      <c r="C44" s="97">
        <v>0.0</v>
      </c>
      <c r="D44" s="97">
        <v>0.0</v>
      </c>
      <c r="E44" s="98"/>
      <c r="F44" s="98"/>
      <c r="G44" s="98"/>
      <c r="H44" s="98"/>
      <c r="I44" s="98"/>
      <c r="J44" s="1"/>
      <c r="K44" s="99">
        <v>27500.0</v>
      </c>
      <c r="L44" s="99">
        <v>28089.768110344827</v>
      </c>
      <c r="M44" s="98">
        <v>33145.92637020689</v>
      </c>
      <c r="N44" s="98">
        <v>39112.19311684413</v>
      </c>
      <c r="O44" s="98">
        <v>46152.38787787607</v>
      </c>
      <c r="P44" s="98">
        <v>54459.81769589376</v>
      </c>
      <c r="Q44" s="98">
        <v>64262.58488115464</v>
      </c>
      <c r="R44" s="1"/>
      <c r="S44" s="99">
        <v>0.0</v>
      </c>
      <c r="T44" s="100">
        <v>0.0</v>
      </c>
      <c r="U44" s="98">
        <v>0.0</v>
      </c>
      <c r="V44" s="98">
        <v>0.0</v>
      </c>
      <c r="W44" s="98">
        <v>0.0</v>
      </c>
      <c r="X44" s="98">
        <v>0.0</v>
      </c>
      <c r="Y44" s="98">
        <v>0.0</v>
      </c>
      <c r="Z44" s="1"/>
      <c r="AA44" s="99">
        <v>0.0</v>
      </c>
      <c r="AB44" s="100">
        <v>0.0</v>
      </c>
      <c r="AC44" s="98">
        <v>0.0</v>
      </c>
      <c r="AD44" s="98">
        <v>0.0</v>
      </c>
      <c r="AE44" s="98">
        <v>0.0</v>
      </c>
      <c r="AF44" s="98">
        <v>0.0</v>
      </c>
      <c r="AG44" s="98">
        <v>0.0</v>
      </c>
      <c r="AH44" s="1"/>
      <c r="AI44" s="87">
        <f t="shared" ref="AI44:AO44" si="16">C27</f>
        <v>1210</v>
      </c>
      <c r="AJ44" s="87">
        <f t="shared" si="16"/>
        <v>1210</v>
      </c>
      <c r="AK44" s="87">
        <f t="shared" si="16"/>
        <v>1320</v>
      </c>
      <c r="AL44" s="87">
        <f t="shared" si="16"/>
        <v>1320</v>
      </c>
      <c r="AM44" s="87">
        <f t="shared" si="16"/>
        <v>1320</v>
      </c>
      <c r="AN44" s="87">
        <f t="shared" si="16"/>
        <v>1320</v>
      </c>
      <c r="AO44" s="87">
        <f t="shared" si="16"/>
        <v>1320</v>
      </c>
      <c r="AP44" s="1"/>
      <c r="AQ44" s="88">
        <f t="shared" ref="AQ44:AW44" si="17">C44+K44+S44+AI44</f>
        <v>28710</v>
      </c>
      <c r="AR44" s="88">
        <f t="shared" si="17"/>
        <v>29299.76811</v>
      </c>
      <c r="AS44" s="88">
        <f t="shared" si="17"/>
        <v>34465.92637</v>
      </c>
      <c r="AT44" s="88">
        <f t="shared" si="17"/>
        <v>40432.19312</v>
      </c>
      <c r="AU44" s="88">
        <f t="shared" si="17"/>
        <v>47472.38788</v>
      </c>
      <c r="AV44" s="88">
        <f t="shared" si="17"/>
        <v>55779.8177</v>
      </c>
      <c r="AW44" s="88">
        <f t="shared" si="17"/>
        <v>65582.58488</v>
      </c>
      <c r="AX44" s="89">
        <f t="shared" si="11"/>
        <v>0</v>
      </c>
      <c r="AY44" s="101" t="s">
        <v>20</v>
      </c>
      <c r="AZ44" s="89">
        <f t="shared" si="13"/>
        <v>589.7681103</v>
      </c>
      <c r="BA44" s="90">
        <f t="shared" ref="BA44:BA45" si="22">(L44-K44)/K44*100</f>
        <v>2.14461131</v>
      </c>
      <c r="BB44" s="89">
        <f t="shared" si="14"/>
        <v>0</v>
      </c>
      <c r="BC44" s="101" t="s">
        <v>20</v>
      </c>
      <c r="BD44" s="89">
        <f t="shared" si="15"/>
        <v>0</v>
      </c>
      <c r="BE44" s="102" t="s">
        <v>20</v>
      </c>
      <c r="BF44" s="92">
        <f t="shared" si="18"/>
        <v>589.7681103</v>
      </c>
      <c r="BG44" s="93">
        <f t="shared" ref="BG44:BG45" si="23">BA44</f>
        <v>2.14461131</v>
      </c>
      <c r="BH44" s="1"/>
      <c r="BI44" s="58"/>
      <c r="BJ44" s="58"/>
      <c r="BK44" s="58"/>
      <c r="BL44" s="58"/>
      <c r="BM44" s="58"/>
      <c r="BN44" s="1"/>
      <c r="BO44" s="103"/>
      <c r="BP44" s="103"/>
      <c r="BQ44" s="103"/>
      <c r="BR44" s="103"/>
      <c r="BS44" s="103"/>
      <c r="BT44" s="1"/>
      <c r="BU44" s="58"/>
      <c r="BV44" s="58"/>
      <c r="BW44" s="58"/>
      <c r="BX44" s="58"/>
      <c r="BY44" s="1"/>
      <c r="BZ44" s="58"/>
      <c r="CA44" s="58"/>
      <c r="CB44" s="58"/>
      <c r="CC44" s="58"/>
      <c r="CD44" s="58"/>
    </row>
    <row r="45" ht="19.5" customHeight="1">
      <c r="A45" s="1"/>
      <c r="B45" s="96" t="s">
        <v>61</v>
      </c>
      <c r="C45" s="97">
        <v>0.0</v>
      </c>
      <c r="D45" s="97">
        <v>0.0</v>
      </c>
      <c r="E45" s="98">
        <f t="shared" ref="E45:I45" si="19">E87</f>
        <v>0</v>
      </c>
      <c r="F45" s="98">
        <f t="shared" si="19"/>
        <v>0</v>
      </c>
      <c r="G45" s="98">
        <f t="shared" si="19"/>
        <v>0</v>
      </c>
      <c r="H45" s="98">
        <f t="shared" si="19"/>
        <v>0</v>
      </c>
      <c r="I45" s="98">
        <f t="shared" si="19"/>
        <v>0</v>
      </c>
      <c r="J45" s="1"/>
      <c r="K45" s="99">
        <v>15000.0</v>
      </c>
      <c r="L45" s="99">
        <v>15125.259751724137</v>
      </c>
      <c r="M45" s="98">
        <v>17999.05910455172</v>
      </c>
      <c r="N45" s="98">
        <v>21418.880334416546</v>
      </c>
      <c r="O45" s="98">
        <v>25488.46759795569</v>
      </c>
      <c r="P45" s="98">
        <v>30331.27644156727</v>
      </c>
      <c r="Q45" s="98">
        <v>36094.21896546505</v>
      </c>
      <c r="R45" s="1"/>
      <c r="S45" s="99">
        <v>0.0</v>
      </c>
      <c r="T45" s="100">
        <v>0.0</v>
      </c>
      <c r="U45" s="98">
        <v>0.0</v>
      </c>
      <c r="V45" s="98">
        <v>0.0</v>
      </c>
      <c r="W45" s="98">
        <v>0.0</v>
      </c>
      <c r="X45" s="98">
        <v>0.0</v>
      </c>
      <c r="Y45" s="98">
        <v>0.0</v>
      </c>
      <c r="Z45" s="1"/>
      <c r="AA45" s="99">
        <v>0.0</v>
      </c>
      <c r="AB45" s="100">
        <v>0.0</v>
      </c>
      <c r="AC45" s="98">
        <v>0.0</v>
      </c>
      <c r="AD45" s="98">
        <v>0.0</v>
      </c>
      <c r="AE45" s="98">
        <v>0.0</v>
      </c>
      <c r="AF45" s="98">
        <v>0.0</v>
      </c>
      <c r="AG45" s="98">
        <v>0.0</v>
      </c>
      <c r="AH45" s="1"/>
      <c r="AI45" s="87">
        <f t="shared" ref="AI45:AO45" si="20">C24+C25+C29</f>
        <v>1178.1</v>
      </c>
      <c r="AJ45" s="87">
        <f t="shared" si="20"/>
        <v>1178.1</v>
      </c>
      <c r="AK45" s="87">
        <f t="shared" si="20"/>
        <v>1300.2</v>
      </c>
      <c r="AL45" s="87">
        <f t="shared" si="20"/>
        <v>1421.2</v>
      </c>
      <c r="AM45" s="87">
        <f t="shared" si="20"/>
        <v>1542.2</v>
      </c>
      <c r="AN45" s="87">
        <f t="shared" si="20"/>
        <v>1663.2</v>
      </c>
      <c r="AO45" s="87">
        <f t="shared" si="20"/>
        <v>1784.2</v>
      </c>
      <c r="AP45" s="1"/>
      <c r="AQ45" s="88">
        <f t="shared" ref="AQ45:AW45" si="21">C45+K45+S45+AI45</f>
        <v>16178.1</v>
      </c>
      <c r="AR45" s="88">
        <f t="shared" si="21"/>
        <v>16303.35975</v>
      </c>
      <c r="AS45" s="88">
        <f t="shared" si="21"/>
        <v>19299.2591</v>
      </c>
      <c r="AT45" s="88">
        <f t="shared" si="21"/>
        <v>22840.08033</v>
      </c>
      <c r="AU45" s="88">
        <f t="shared" si="21"/>
        <v>27030.6676</v>
      </c>
      <c r="AV45" s="88">
        <f t="shared" si="21"/>
        <v>31994.47644</v>
      </c>
      <c r="AW45" s="88">
        <f t="shared" si="21"/>
        <v>37878.41897</v>
      </c>
      <c r="AX45" s="89">
        <f t="shared" si="11"/>
        <v>0</v>
      </c>
      <c r="AY45" s="101" t="s">
        <v>20</v>
      </c>
      <c r="AZ45" s="89">
        <f t="shared" si="13"/>
        <v>125.2597517</v>
      </c>
      <c r="BA45" s="90">
        <f t="shared" si="22"/>
        <v>0.8350650115</v>
      </c>
      <c r="BB45" s="89">
        <f t="shared" si="14"/>
        <v>0</v>
      </c>
      <c r="BC45" s="101" t="s">
        <v>20</v>
      </c>
      <c r="BD45" s="89">
        <f t="shared" si="15"/>
        <v>0</v>
      </c>
      <c r="BE45" s="102" t="s">
        <v>20</v>
      </c>
      <c r="BF45" s="92">
        <f t="shared" si="18"/>
        <v>125.2597517</v>
      </c>
      <c r="BG45" s="93">
        <f t="shared" si="23"/>
        <v>0.8350650115</v>
      </c>
      <c r="BH45" s="1"/>
      <c r="BI45" s="58"/>
      <c r="BJ45" s="58"/>
      <c r="BK45" s="58"/>
      <c r="BL45" s="58"/>
      <c r="BM45" s="58"/>
      <c r="BN45" s="1"/>
      <c r="BO45" s="103"/>
      <c r="BP45" s="103"/>
      <c r="BQ45" s="103"/>
      <c r="BR45" s="103"/>
      <c r="BS45" s="103"/>
      <c r="BT45" s="1"/>
      <c r="BU45" s="58"/>
      <c r="BV45" s="58"/>
      <c r="BW45" s="58"/>
      <c r="BX45" s="58"/>
      <c r="BY45" s="1"/>
      <c r="BZ45" s="58"/>
      <c r="CA45" s="58"/>
      <c r="CB45" s="58"/>
      <c r="CC45" s="58"/>
      <c r="CD45" s="58"/>
    </row>
    <row r="46" ht="19.5" customHeight="1">
      <c r="A46" s="1"/>
      <c r="B46" s="96" t="s">
        <v>62</v>
      </c>
      <c r="C46" s="97">
        <v>0.0</v>
      </c>
      <c r="D46" s="97">
        <v>0.0</v>
      </c>
      <c r="E46" s="98">
        <f t="shared" ref="E46:I46" si="24">E27-E27</f>
        <v>0</v>
      </c>
      <c r="F46" s="98">
        <f t="shared" si="24"/>
        <v>0</v>
      </c>
      <c r="G46" s="98">
        <f t="shared" si="24"/>
        <v>0</v>
      </c>
      <c r="H46" s="98">
        <f t="shared" si="24"/>
        <v>0</v>
      </c>
      <c r="I46" s="98">
        <f t="shared" si="24"/>
        <v>0</v>
      </c>
      <c r="J46" s="1"/>
      <c r="K46" s="99">
        <v>0.0</v>
      </c>
      <c r="L46" s="99">
        <v>0.0</v>
      </c>
      <c r="M46" s="98">
        <v>0.0</v>
      </c>
      <c r="N46" s="98">
        <v>0.0</v>
      </c>
      <c r="O46" s="98">
        <v>0.0</v>
      </c>
      <c r="P46" s="98">
        <v>0.0</v>
      </c>
      <c r="Q46" s="98">
        <v>0.0</v>
      </c>
      <c r="R46" s="1"/>
      <c r="S46" s="99">
        <v>23700.0</v>
      </c>
      <c r="T46" s="100">
        <v>24565.0</v>
      </c>
      <c r="U46" s="98">
        <v>29797.345</v>
      </c>
      <c r="V46" s="98">
        <v>37246.68125</v>
      </c>
      <c r="W46" s="98">
        <v>47675.752</v>
      </c>
      <c r="X46" s="98">
        <v>63408.75016</v>
      </c>
      <c r="Y46" s="98">
        <v>85601.81271600001</v>
      </c>
      <c r="Z46" s="1"/>
      <c r="AA46" s="99">
        <v>0.0</v>
      </c>
      <c r="AB46" s="100">
        <v>0.0</v>
      </c>
      <c r="AC46" s="98">
        <v>0.0</v>
      </c>
      <c r="AD46" s="98">
        <v>0.0</v>
      </c>
      <c r="AE46" s="98">
        <v>0.0</v>
      </c>
      <c r="AF46" s="98">
        <v>0.0</v>
      </c>
      <c r="AG46" s="98">
        <v>0.0</v>
      </c>
      <c r="AH46" s="1"/>
      <c r="AI46" s="104">
        <v>0.0</v>
      </c>
      <c r="AJ46" s="104">
        <v>0.0</v>
      </c>
      <c r="AK46" s="104">
        <v>0.0</v>
      </c>
      <c r="AL46" s="104">
        <v>0.0</v>
      </c>
      <c r="AM46" s="104">
        <v>0.0</v>
      </c>
      <c r="AN46" s="104">
        <v>0.0</v>
      </c>
      <c r="AO46" s="104">
        <v>0.0</v>
      </c>
      <c r="AP46" s="1"/>
      <c r="AQ46" s="88">
        <f t="shared" ref="AQ46:AW46" si="25">C46+K46+S46+AI46</f>
        <v>23700</v>
      </c>
      <c r="AR46" s="88">
        <f t="shared" si="25"/>
        <v>24565</v>
      </c>
      <c r="AS46" s="88">
        <f t="shared" si="25"/>
        <v>29797.345</v>
      </c>
      <c r="AT46" s="88">
        <f t="shared" si="25"/>
        <v>37246.68125</v>
      </c>
      <c r="AU46" s="88">
        <f t="shared" si="25"/>
        <v>47675.752</v>
      </c>
      <c r="AV46" s="88">
        <f t="shared" si="25"/>
        <v>63408.75016</v>
      </c>
      <c r="AW46" s="88">
        <f t="shared" si="25"/>
        <v>85601.81272</v>
      </c>
      <c r="AX46" s="89">
        <f t="shared" si="11"/>
        <v>0</v>
      </c>
      <c r="AY46" s="101" t="s">
        <v>20</v>
      </c>
      <c r="AZ46" s="89">
        <f t="shared" si="13"/>
        <v>0</v>
      </c>
      <c r="BA46" s="101" t="s">
        <v>20</v>
      </c>
      <c r="BB46" s="89">
        <f t="shared" si="14"/>
        <v>865</v>
      </c>
      <c r="BC46" s="90">
        <f>(T46-S46)/S46*100</f>
        <v>3.64978903</v>
      </c>
      <c r="BD46" s="89">
        <f t="shared" si="15"/>
        <v>0</v>
      </c>
      <c r="BE46" s="102" t="s">
        <v>20</v>
      </c>
      <c r="BF46" s="92">
        <f t="shared" si="18"/>
        <v>865</v>
      </c>
      <c r="BG46" s="93">
        <f>BC46</f>
        <v>3.64978903</v>
      </c>
      <c r="BH46" s="1"/>
      <c r="BI46" s="58"/>
      <c r="BJ46" s="58"/>
      <c r="BK46" s="58"/>
      <c r="BL46" s="58"/>
      <c r="BM46" s="58"/>
      <c r="BN46" s="1"/>
      <c r="BO46" s="103"/>
      <c r="BP46" s="103"/>
      <c r="BQ46" s="103"/>
      <c r="BR46" s="103"/>
      <c r="BS46" s="103"/>
      <c r="BT46" s="1"/>
      <c r="BU46" s="58"/>
      <c r="BV46" s="58"/>
      <c r="BW46" s="58"/>
      <c r="BX46" s="58"/>
      <c r="BY46" s="1"/>
      <c r="BZ46" s="58"/>
      <c r="CA46" s="58"/>
      <c r="CB46" s="58"/>
      <c r="CC46" s="58"/>
      <c r="CD46" s="58"/>
    </row>
    <row r="47" ht="19.5" customHeight="1">
      <c r="A47" s="1"/>
      <c r="B47" s="96" t="s">
        <v>63</v>
      </c>
      <c r="C47" s="97">
        <v>0.0</v>
      </c>
      <c r="D47" s="97">
        <v>0.0</v>
      </c>
      <c r="E47" s="98">
        <f t="shared" ref="E47:I47" si="26">E23-E23</f>
        <v>0</v>
      </c>
      <c r="F47" s="98">
        <f t="shared" si="26"/>
        <v>0</v>
      </c>
      <c r="G47" s="98">
        <f t="shared" si="26"/>
        <v>0</v>
      </c>
      <c r="H47" s="98">
        <f t="shared" si="26"/>
        <v>0</v>
      </c>
      <c r="I47" s="98">
        <f t="shared" si="26"/>
        <v>0</v>
      </c>
      <c r="J47" s="1"/>
      <c r="K47" s="99">
        <v>0.0</v>
      </c>
      <c r="L47" s="99">
        <v>0.0</v>
      </c>
      <c r="M47" s="98">
        <v>0.0</v>
      </c>
      <c r="N47" s="98">
        <v>0.0</v>
      </c>
      <c r="O47" s="98">
        <v>0.0</v>
      </c>
      <c r="P47" s="98">
        <v>0.0</v>
      </c>
      <c r="Q47" s="98">
        <v>0.0</v>
      </c>
      <c r="R47" s="1"/>
      <c r="S47" s="99">
        <v>0.0</v>
      </c>
      <c r="T47" s="100">
        <v>0.0</v>
      </c>
      <c r="U47" s="98">
        <v>0.0</v>
      </c>
      <c r="V47" s="98">
        <v>0.0</v>
      </c>
      <c r="W47" s="98">
        <v>0.0</v>
      </c>
      <c r="X47" s="98">
        <v>0.0</v>
      </c>
      <c r="Y47" s="98">
        <v>0.0</v>
      </c>
      <c r="Z47" s="1"/>
      <c r="AA47" s="99">
        <v>8500.0</v>
      </c>
      <c r="AB47" s="100">
        <v>7911.8422222222225</v>
      </c>
      <c r="AC47" s="98">
        <v>8873.131052222223</v>
      </c>
      <c r="AD47" s="98">
        <v>9951.216475067222</v>
      </c>
      <c r="AE47" s="98">
        <v>11160.28927678789</v>
      </c>
      <c r="AF47" s="98">
        <v>12516.264423917617</v>
      </c>
      <c r="AG47" s="98">
        <v>14036.990551423607</v>
      </c>
      <c r="AH47" s="1"/>
      <c r="AI47" s="104">
        <v>0.0</v>
      </c>
      <c r="AJ47" s="104">
        <v>0.0</v>
      </c>
      <c r="AK47" s="104">
        <v>0.0</v>
      </c>
      <c r="AL47" s="104">
        <v>0.0</v>
      </c>
      <c r="AM47" s="104">
        <v>0.0</v>
      </c>
      <c r="AN47" s="104">
        <v>0.0</v>
      </c>
      <c r="AO47" s="104">
        <v>0.0</v>
      </c>
      <c r="AP47" s="1"/>
      <c r="AQ47" s="88">
        <f t="shared" ref="AQ47:AW47" si="27">C47+K47+S47+AI47</f>
        <v>0</v>
      </c>
      <c r="AR47" s="88">
        <f t="shared" si="27"/>
        <v>0</v>
      </c>
      <c r="AS47" s="88">
        <f t="shared" si="27"/>
        <v>0</v>
      </c>
      <c r="AT47" s="88">
        <f t="shared" si="27"/>
        <v>0</v>
      </c>
      <c r="AU47" s="88">
        <f t="shared" si="27"/>
        <v>0</v>
      </c>
      <c r="AV47" s="88">
        <f t="shared" si="27"/>
        <v>0</v>
      </c>
      <c r="AW47" s="88">
        <f t="shared" si="27"/>
        <v>0</v>
      </c>
      <c r="AX47" s="89">
        <f t="shared" si="11"/>
        <v>0</v>
      </c>
      <c r="AY47" s="101" t="s">
        <v>20</v>
      </c>
      <c r="AZ47" s="89">
        <f t="shared" si="13"/>
        <v>0</v>
      </c>
      <c r="BA47" s="101" t="s">
        <v>20</v>
      </c>
      <c r="BB47" s="89">
        <f t="shared" si="14"/>
        <v>0</v>
      </c>
      <c r="BC47" s="101" t="s">
        <v>20</v>
      </c>
      <c r="BD47" s="89">
        <f t="shared" si="15"/>
        <v>-588.1577778</v>
      </c>
      <c r="BE47" s="91">
        <f t="shared" ref="BE47:BE60" si="34">(AB47-AA47)/AA47*100</f>
        <v>-6.919503268</v>
      </c>
      <c r="BF47" s="92">
        <f t="shared" si="18"/>
        <v>-588.1577778</v>
      </c>
      <c r="BG47" s="93">
        <f>BE47</f>
        <v>-6.919503268</v>
      </c>
      <c r="BH47" s="1"/>
      <c r="BI47" s="58"/>
      <c r="BJ47" s="58"/>
      <c r="BK47" s="58"/>
      <c r="BL47" s="58"/>
      <c r="BM47" s="58"/>
      <c r="BN47" s="1"/>
      <c r="BO47" s="103"/>
      <c r="BP47" s="103"/>
      <c r="BQ47" s="103"/>
      <c r="BR47" s="103"/>
      <c r="BS47" s="103"/>
      <c r="BT47" s="1"/>
      <c r="BU47" s="58"/>
      <c r="BV47" s="58"/>
      <c r="BW47" s="58"/>
      <c r="BX47" s="58"/>
      <c r="BY47" s="1"/>
      <c r="BZ47" s="58"/>
      <c r="CA47" s="58"/>
      <c r="CB47" s="58"/>
      <c r="CC47" s="58"/>
      <c r="CD47" s="58"/>
    </row>
    <row r="48" ht="19.5" customHeight="1">
      <c r="A48" s="1"/>
      <c r="B48" s="82" t="s">
        <v>64</v>
      </c>
      <c r="C48" s="105">
        <f t="shared" ref="C48:I48" si="28">SUM(C49:C51)</f>
        <v>17350</v>
      </c>
      <c r="D48" s="105">
        <f t="shared" si="28"/>
        <v>17365</v>
      </c>
      <c r="E48" s="105">
        <f t="shared" si="28"/>
        <v>19930.15913</v>
      </c>
      <c r="F48" s="105">
        <f t="shared" si="28"/>
        <v>22647.39077</v>
      </c>
      <c r="G48" s="105">
        <f t="shared" si="28"/>
        <v>25525.72741</v>
      </c>
      <c r="H48" s="105">
        <f t="shared" si="28"/>
        <v>28574.73891</v>
      </c>
      <c r="I48" s="105">
        <f t="shared" si="28"/>
        <v>31804.56449</v>
      </c>
      <c r="J48" s="1"/>
      <c r="K48" s="84">
        <f t="shared" ref="K48:Q48" si="29">SUM(K49:K51)</f>
        <v>20300</v>
      </c>
      <c r="L48" s="84">
        <f t="shared" si="29"/>
        <v>20311.0631</v>
      </c>
      <c r="M48" s="84">
        <f t="shared" si="29"/>
        <v>23322.14924</v>
      </c>
      <c r="N48" s="84">
        <f t="shared" si="29"/>
        <v>26794.15947</v>
      </c>
      <c r="O48" s="84">
        <f t="shared" si="29"/>
        <v>30798.76208</v>
      </c>
      <c r="P48" s="84">
        <f t="shared" si="29"/>
        <v>35418.87857</v>
      </c>
      <c r="Q48" s="85">
        <f t="shared" si="29"/>
        <v>40750.46489</v>
      </c>
      <c r="R48" s="1"/>
      <c r="S48" s="84">
        <f t="shared" ref="S48:Y48" si="30">SUM(S49:S51)</f>
        <v>14950</v>
      </c>
      <c r="T48" s="84">
        <f t="shared" si="30"/>
        <v>15384</v>
      </c>
      <c r="U48" s="84">
        <f t="shared" si="30"/>
        <v>16634.6</v>
      </c>
      <c r="V48" s="84">
        <f t="shared" si="30"/>
        <v>18042.126</v>
      </c>
      <c r="W48" s="84">
        <f t="shared" si="30"/>
        <v>19636.46606</v>
      </c>
      <c r="X48" s="84">
        <f t="shared" si="30"/>
        <v>21454.41965</v>
      </c>
      <c r="Y48" s="86">
        <f t="shared" si="30"/>
        <v>23541.39186</v>
      </c>
      <c r="Z48" s="1"/>
      <c r="AA48" s="84">
        <f t="shared" ref="AA48:AG48" si="31">SUM(AA49:AA51)</f>
        <v>2350</v>
      </c>
      <c r="AB48" s="84">
        <f t="shared" si="31"/>
        <v>2421.091111</v>
      </c>
      <c r="AC48" s="84">
        <f t="shared" si="31"/>
        <v>2569.642989</v>
      </c>
      <c r="AD48" s="84">
        <f t="shared" si="31"/>
        <v>2729.653812</v>
      </c>
      <c r="AE48" s="84">
        <f t="shared" si="31"/>
        <v>2902.212998</v>
      </c>
      <c r="AF48" s="84">
        <f t="shared" si="31"/>
        <v>3088.527874</v>
      </c>
      <c r="AG48" s="86">
        <f t="shared" si="31"/>
        <v>3289.937252</v>
      </c>
      <c r="AH48" s="1"/>
      <c r="AI48" s="87">
        <f t="shared" ref="AI48:AO48" si="32">SUM(AI49:AI51)</f>
        <v>1344.2</v>
      </c>
      <c r="AJ48" s="87">
        <f t="shared" si="32"/>
        <v>1344.2</v>
      </c>
      <c r="AK48" s="87">
        <f t="shared" si="32"/>
        <v>1461.9</v>
      </c>
      <c r="AL48" s="87">
        <f t="shared" si="32"/>
        <v>1468.555</v>
      </c>
      <c r="AM48" s="87">
        <f t="shared" si="32"/>
        <v>1475.26775</v>
      </c>
      <c r="AN48" s="87">
        <f t="shared" si="32"/>
        <v>1482.041138</v>
      </c>
      <c r="AO48" s="87">
        <f t="shared" si="32"/>
        <v>1488.878194</v>
      </c>
      <c r="AP48" s="1"/>
      <c r="AQ48" s="88">
        <f t="shared" ref="AQ48:AW48" si="33">C48+K48+S48+AI48</f>
        <v>53944.2</v>
      </c>
      <c r="AR48" s="88">
        <f t="shared" si="33"/>
        <v>54404.2631</v>
      </c>
      <c r="AS48" s="88">
        <f t="shared" si="33"/>
        <v>61348.80837</v>
      </c>
      <c r="AT48" s="88">
        <f t="shared" si="33"/>
        <v>68952.23124</v>
      </c>
      <c r="AU48" s="88">
        <f t="shared" si="33"/>
        <v>77436.2233</v>
      </c>
      <c r="AV48" s="88">
        <f t="shared" si="33"/>
        <v>86930.07827</v>
      </c>
      <c r="AW48" s="88">
        <f t="shared" si="33"/>
        <v>97585.29944</v>
      </c>
      <c r="AX48" s="89">
        <f t="shared" si="11"/>
        <v>15</v>
      </c>
      <c r="AY48" s="90">
        <f t="shared" ref="AY48:AY62" si="37">(D48-C48)/C48</f>
        <v>0.0008645533141</v>
      </c>
      <c r="AZ48" s="89">
        <f t="shared" si="13"/>
        <v>11.06309517</v>
      </c>
      <c r="BA48" s="90">
        <f t="shared" ref="BA48:BA62" si="38">(L48-K48)/K48*100</f>
        <v>0.05449800578</v>
      </c>
      <c r="BB48" s="89">
        <f t="shared" si="14"/>
        <v>434</v>
      </c>
      <c r="BC48" s="90">
        <f t="shared" ref="BC48:BC62" si="39">(T48-S48)/S48*100</f>
        <v>2.903010033</v>
      </c>
      <c r="BD48" s="89">
        <f t="shared" si="15"/>
        <v>71.09111111</v>
      </c>
      <c r="BE48" s="91">
        <f t="shared" si="34"/>
        <v>3.025153664</v>
      </c>
      <c r="BF48" s="92">
        <f t="shared" si="18"/>
        <v>531.1542063</v>
      </c>
      <c r="BG48" s="93">
        <f t="shared" ref="BG48:BG60" si="40">AY48+BA48+BC48+BE48</f>
        <v>5.983526257</v>
      </c>
      <c r="BH48" s="1"/>
      <c r="BI48" s="94"/>
      <c r="BJ48" s="94"/>
      <c r="BK48" s="94"/>
      <c r="BL48" s="94"/>
      <c r="BM48" s="94"/>
      <c r="BN48" s="1"/>
      <c r="BO48" s="95"/>
      <c r="BP48" s="95"/>
      <c r="BQ48" s="95"/>
      <c r="BR48" s="95"/>
      <c r="BS48" s="95"/>
      <c r="BT48" s="1"/>
      <c r="BU48" s="94"/>
      <c r="BV48" s="94"/>
      <c r="BW48" s="94"/>
      <c r="BX48" s="94"/>
      <c r="BY48" s="1"/>
      <c r="BZ48" s="95"/>
      <c r="CA48" s="95"/>
      <c r="CB48" s="95"/>
      <c r="CC48" s="95"/>
      <c r="CD48" s="95"/>
    </row>
    <row r="49" ht="19.5" customHeight="1">
      <c r="A49" s="1"/>
      <c r="B49" s="96" t="s">
        <v>65</v>
      </c>
      <c r="C49" s="106">
        <v>13710.0</v>
      </c>
      <c r="D49" s="106">
        <v>13690.913300000004</v>
      </c>
      <c r="E49" s="107">
        <f t="shared" ref="E49:I49" si="35">D49*(1+E13)+E76/1000</f>
        <v>16072.3681</v>
      </c>
      <c r="F49" s="107">
        <f t="shared" si="35"/>
        <v>18596.71018</v>
      </c>
      <c r="G49" s="107">
        <f t="shared" si="35"/>
        <v>21272.51279</v>
      </c>
      <c r="H49" s="107">
        <f t="shared" si="35"/>
        <v>24108.86356</v>
      </c>
      <c r="I49" s="107">
        <f t="shared" si="35"/>
        <v>27115.39538</v>
      </c>
      <c r="J49" s="1"/>
      <c r="K49" s="99">
        <v>16000.0</v>
      </c>
      <c r="L49" s="99">
        <v>16013.648365495837</v>
      </c>
      <c r="M49" s="98">
        <v>18415.69562032021</v>
      </c>
      <c r="N49" s="98">
        <v>21178.04996336824</v>
      </c>
      <c r="O49" s="98">
        <v>24354.757457873475</v>
      </c>
      <c r="P49" s="98">
        <v>28007.971076554495</v>
      </c>
      <c r="Q49" s="98">
        <v>32209.166738037668</v>
      </c>
      <c r="R49" s="1"/>
      <c r="S49" s="99">
        <v>13350.0</v>
      </c>
      <c r="T49" s="100">
        <v>13540.0</v>
      </c>
      <c r="U49" s="98">
        <v>14352.400000000001</v>
      </c>
      <c r="V49" s="98">
        <v>15213.544000000002</v>
      </c>
      <c r="W49" s="98">
        <v>16126.356640000002</v>
      </c>
      <c r="X49" s="98">
        <v>17093.938038400003</v>
      </c>
      <c r="Y49" s="98">
        <v>18119.574320704003</v>
      </c>
      <c r="Z49" s="1"/>
      <c r="AA49" s="99">
        <v>1800.0</v>
      </c>
      <c r="AB49" s="100">
        <v>1834.98</v>
      </c>
      <c r="AC49" s="98">
        <v>1917.5540999999998</v>
      </c>
      <c r="AD49" s="98">
        <v>2003.8440344999997</v>
      </c>
      <c r="AE49" s="98">
        <v>2094.0170160524995</v>
      </c>
      <c r="AF49" s="98">
        <v>2188.247781774862</v>
      </c>
      <c r="AG49" s="98">
        <v>2286.7189319547306</v>
      </c>
      <c r="AH49" s="1"/>
      <c r="AI49" s="104">
        <v>0.0</v>
      </c>
      <c r="AJ49" s="104">
        <v>0.0</v>
      </c>
      <c r="AK49" s="104">
        <v>0.0</v>
      </c>
      <c r="AL49" s="104">
        <v>0.0</v>
      </c>
      <c r="AM49" s="104">
        <v>0.0</v>
      </c>
      <c r="AN49" s="104">
        <v>0.0</v>
      </c>
      <c r="AO49" s="104">
        <v>0.0</v>
      </c>
      <c r="AP49" s="1"/>
      <c r="AQ49" s="88">
        <f t="shared" ref="AQ49:AW49" si="36">C49+K49+S49+AI49</f>
        <v>43060</v>
      </c>
      <c r="AR49" s="88">
        <f t="shared" si="36"/>
        <v>43244.56167</v>
      </c>
      <c r="AS49" s="88">
        <f t="shared" si="36"/>
        <v>48840.46372</v>
      </c>
      <c r="AT49" s="88">
        <f t="shared" si="36"/>
        <v>54988.30415</v>
      </c>
      <c r="AU49" s="88">
        <f t="shared" si="36"/>
        <v>61753.62689</v>
      </c>
      <c r="AV49" s="88">
        <f t="shared" si="36"/>
        <v>69210.77268</v>
      </c>
      <c r="AW49" s="88">
        <f t="shared" si="36"/>
        <v>77444.13644</v>
      </c>
      <c r="AX49" s="89">
        <f t="shared" si="11"/>
        <v>-19.0867</v>
      </c>
      <c r="AY49" s="90">
        <f t="shared" si="37"/>
        <v>-0.001392173596</v>
      </c>
      <c r="AZ49" s="89">
        <f t="shared" si="13"/>
        <v>13.6483655</v>
      </c>
      <c r="BA49" s="90">
        <f t="shared" si="38"/>
        <v>0.08530228435</v>
      </c>
      <c r="BB49" s="89">
        <f t="shared" si="14"/>
        <v>190</v>
      </c>
      <c r="BC49" s="90">
        <f t="shared" si="39"/>
        <v>1.423220974</v>
      </c>
      <c r="BD49" s="89">
        <f t="shared" si="15"/>
        <v>34.98</v>
      </c>
      <c r="BE49" s="91">
        <f t="shared" si="34"/>
        <v>1.943333333</v>
      </c>
      <c r="BF49" s="92">
        <f t="shared" si="18"/>
        <v>219.5416655</v>
      </c>
      <c r="BG49" s="93">
        <f t="shared" si="40"/>
        <v>3.450464418</v>
      </c>
      <c r="BH49" s="1"/>
      <c r="BI49" s="58"/>
      <c r="BJ49" s="58"/>
      <c r="BK49" s="58"/>
      <c r="BL49" s="58"/>
      <c r="BM49" s="58"/>
      <c r="BN49" s="1"/>
      <c r="BO49" s="103"/>
      <c r="BP49" s="103"/>
      <c r="BQ49" s="103"/>
      <c r="BR49" s="103"/>
      <c r="BS49" s="103"/>
      <c r="BT49" s="1"/>
      <c r="BU49" s="58"/>
      <c r="BV49" s="58"/>
      <c r="BW49" s="58"/>
      <c r="BX49" s="58"/>
      <c r="BY49" s="1"/>
      <c r="BZ49" s="58"/>
      <c r="CA49" s="58"/>
      <c r="CB49" s="58"/>
      <c r="CC49" s="58"/>
      <c r="CD49" s="58"/>
    </row>
    <row r="50" ht="19.5" customHeight="1">
      <c r="A50" s="1"/>
      <c r="B50" s="96" t="s">
        <v>66</v>
      </c>
      <c r="C50" s="106">
        <v>3450.0</v>
      </c>
      <c r="D50" s="106">
        <v>3484.724229221534</v>
      </c>
      <c r="E50" s="107">
        <f t="shared" ref="E50:I50" si="41">D50*(1+E12)</f>
        <v>3658.960441</v>
      </c>
      <c r="F50" s="107">
        <f t="shared" si="41"/>
        <v>3841.908463</v>
      </c>
      <c r="G50" s="107">
        <f t="shared" si="41"/>
        <v>4034.003886</v>
      </c>
      <c r="H50" s="107">
        <f t="shared" si="41"/>
        <v>4235.70408</v>
      </c>
      <c r="I50" s="107">
        <f t="shared" si="41"/>
        <v>4447.489284</v>
      </c>
      <c r="J50" s="1"/>
      <c r="K50" s="99">
        <v>2900.0</v>
      </c>
      <c r="L50" s="99">
        <v>2979.065368703655</v>
      </c>
      <c r="M50" s="98">
        <v>3515.5950416071832</v>
      </c>
      <c r="N50" s="98">
        <v>4148.753708600637</v>
      </c>
      <c r="O50" s="98">
        <v>4895.9442515196115</v>
      </c>
      <c r="P50" s="98">
        <v>5777.703811218294</v>
      </c>
      <c r="Q50" s="98">
        <v>6818.268267618708</v>
      </c>
      <c r="R50" s="1"/>
      <c r="S50" s="99">
        <v>1500.0</v>
      </c>
      <c r="T50" s="100">
        <v>1724.0</v>
      </c>
      <c r="U50" s="98">
        <v>2155.0</v>
      </c>
      <c r="V50" s="98">
        <v>2693.75</v>
      </c>
      <c r="W50" s="98">
        <v>3367.1875</v>
      </c>
      <c r="X50" s="98">
        <v>4208.984375</v>
      </c>
      <c r="Y50" s="98">
        <v>5261.23046875</v>
      </c>
      <c r="Z50" s="1"/>
      <c r="AA50" s="99">
        <v>500.0</v>
      </c>
      <c r="AB50" s="100">
        <v>531.6666666666666</v>
      </c>
      <c r="AC50" s="98">
        <v>595.4666666666667</v>
      </c>
      <c r="AD50" s="98">
        <v>666.9226666666667</v>
      </c>
      <c r="AE50" s="98">
        <v>746.9533866666668</v>
      </c>
      <c r="AF50" s="98">
        <v>836.5877930666669</v>
      </c>
      <c r="AG50" s="98">
        <v>936.9783282346671</v>
      </c>
      <c r="AH50" s="1"/>
      <c r="AI50" s="104">
        <f t="shared" ref="AI50:AO50" si="42">AI44</f>
        <v>1210</v>
      </c>
      <c r="AJ50" s="104">
        <f t="shared" si="42"/>
        <v>1210</v>
      </c>
      <c r="AK50" s="104">
        <f t="shared" si="42"/>
        <v>1320</v>
      </c>
      <c r="AL50" s="104">
        <f t="shared" si="42"/>
        <v>1320</v>
      </c>
      <c r="AM50" s="104">
        <f t="shared" si="42"/>
        <v>1320</v>
      </c>
      <c r="AN50" s="104">
        <f t="shared" si="42"/>
        <v>1320</v>
      </c>
      <c r="AO50" s="104">
        <f t="shared" si="42"/>
        <v>1320</v>
      </c>
      <c r="AP50" s="1"/>
      <c r="AQ50" s="88">
        <f t="shared" ref="AQ50:AW50" si="43">C50+K50+S50+AI50</f>
        <v>9060</v>
      </c>
      <c r="AR50" s="88">
        <f t="shared" si="43"/>
        <v>9397.789598</v>
      </c>
      <c r="AS50" s="88">
        <f t="shared" si="43"/>
        <v>10649.55548</v>
      </c>
      <c r="AT50" s="88">
        <f t="shared" si="43"/>
        <v>12004.41217</v>
      </c>
      <c r="AU50" s="88">
        <f t="shared" si="43"/>
        <v>13617.13564</v>
      </c>
      <c r="AV50" s="88">
        <f t="shared" si="43"/>
        <v>15542.39227</v>
      </c>
      <c r="AW50" s="88">
        <f t="shared" si="43"/>
        <v>17846.98802</v>
      </c>
      <c r="AX50" s="89">
        <f t="shared" si="11"/>
        <v>34.72422922</v>
      </c>
      <c r="AY50" s="90">
        <f t="shared" si="37"/>
        <v>0.01006499398</v>
      </c>
      <c r="AZ50" s="89">
        <f t="shared" si="13"/>
        <v>79.0653687</v>
      </c>
      <c r="BA50" s="90">
        <f t="shared" si="38"/>
        <v>2.726392024</v>
      </c>
      <c r="BB50" s="89">
        <f t="shared" si="14"/>
        <v>224</v>
      </c>
      <c r="BC50" s="90">
        <f t="shared" si="39"/>
        <v>14.93333333</v>
      </c>
      <c r="BD50" s="89">
        <f t="shared" si="15"/>
        <v>31.66666667</v>
      </c>
      <c r="BE50" s="91">
        <f t="shared" si="34"/>
        <v>6.333333333</v>
      </c>
      <c r="BF50" s="92">
        <f t="shared" si="18"/>
        <v>369.4562646</v>
      </c>
      <c r="BG50" s="93">
        <f t="shared" si="40"/>
        <v>24.00312368</v>
      </c>
      <c r="BH50" s="1"/>
      <c r="BI50" s="58"/>
      <c r="BJ50" s="58"/>
      <c r="BK50" s="58"/>
      <c r="BL50" s="58"/>
      <c r="BM50" s="58"/>
      <c r="BN50" s="1"/>
      <c r="BO50" s="103"/>
      <c r="BP50" s="103"/>
      <c r="BQ50" s="103"/>
      <c r="BR50" s="103"/>
      <c r="BS50" s="103"/>
      <c r="BT50" s="1"/>
      <c r="BU50" s="58"/>
      <c r="BV50" s="58"/>
      <c r="BW50" s="58"/>
      <c r="BX50" s="58"/>
      <c r="BY50" s="1"/>
      <c r="BZ50" s="58"/>
      <c r="CA50" s="58"/>
      <c r="CB50" s="58"/>
      <c r="CC50" s="58"/>
      <c r="CD50" s="58"/>
    </row>
    <row r="51" ht="19.5" customHeight="1">
      <c r="A51" s="1"/>
      <c r="B51" s="96" t="s">
        <v>67</v>
      </c>
      <c r="C51" s="106">
        <v>190.0</v>
      </c>
      <c r="D51" s="106">
        <v>189.36247077846184</v>
      </c>
      <c r="E51" s="107">
        <f t="shared" ref="E51:I51" si="44">D51*(1+E12)</f>
        <v>198.8305943</v>
      </c>
      <c r="F51" s="107">
        <f t="shared" si="44"/>
        <v>208.772124</v>
      </c>
      <c r="G51" s="107">
        <f t="shared" si="44"/>
        <v>219.2107302</v>
      </c>
      <c r="H51" s="107">
        <f t="shared" si="44"/>
        <v>230.1712667</v>
      </c>
      <c r="I51" s="107">
        <f t="shared" si="44"/>
        <v>241.6798301</v>
      </c>
      <c r="J51" s="1"/>
      <c r="K51" s="99">
        <v>1400.0</v>
      </c>
      <c r="L51" s="99">
        <v>1318.3493609729148</v>
      </c>
      <c r="M51" s="98">
        <v>1390.858575826425</v>
      </c>
      <c r="N51" s="98">
        <v>1467.3557974968783</v>
      </c>
      <c r="O51" s="98">
        <v>1548.0603663592065</v>
      </c>
      <c r="P51" s="98">
        <v>1633.2036865089626</v>
      </c>
      <c r="Q51" s="98">
        <v>1723.0298892669555</v>
      </c>
      <c r="R51" s="1"/>
      <c r="S51" s="99">
        <v>100.0</v>
      </c>
      <c r="T51" s="100">
        <v>120.0</v>
      </c>
      <c r="U51" s="98">
        <v>127.2</v>
      </c>
      <c r="V51" s="98">
        <v>134.83200000000002</v>
      </c>
      <c r="W51" s="98">
        <v>142.92192000000003</v>
      </c>
      <c r="X51" s="98">
        <v>151.49723520000003</v>
      </c>
      <c r="Y51" s="98">
        <v>160.58706931200004</v>
      </c>
      <c r="Z51" s="1"/>
      <c r="AA51" s="99">
        <v>50.0</v>
      </c>
      <c r="AB51" s="100">
        <v>54.44444444444444</v>
      </c>
      <c r="AC51" s="98">
        <v>56.62222222222222</v>
      </c>
      <c r="AD51" s="98">
        <v>58.88711111111111</v>
      </c>
      <c r="AE51" s="98">
        <v>61.24259555555556</v>
      </c>
      <c r="AF51" s="98">
        <v>63.692299377777786</v>
      </c>
      <c r="AG51" s="98">
        <v>66.2399913528889</v>
      </c>
      <c r="AH51" s="1"/>
      <c r="AI51" s="104">
        <f t="shared" ref="AI51:AO51" si="45">AI43</f>
        <v>134.2</v>
      </c>
      <c r="AJ51" s="104">
        <f t="shared" si="45"/>
        <v>134.2</v>
      </c>
      <c r="AK51" s="104">
        <f t="shared" si="45"/>
        <v>141.9</v>
      </c>
      <c r="AL51" s="104">
        <f t="shared" si="45"/>
        <v>148.555</v>
      </c>
      <c r="AM51" s="104">
        <f t="shared" si="45"/>
        <v>155.26775</v>
      </c>
      <c r="AN51" s="104">
        <f t="shared" si="45"/>
        <v>162.0411375</v>
      </c>
      <c r="AO51" s="104">
        <f t="shared" si="45"/>
        <v>168.8781944</v>
      </c>
      <c r="AP51" s="1"/>
      <c r="AQ51" s="88">
        <f t="shared" ref="AQ51:AW51" si="46">C51+K51+S51+AI51</f>
        <v>1824.2</v>
      </c>
      <c r="AR51" s="88">
        <f t="shared" si="46"/>
        <v>1761.911832</v>
      </c>
      <c r="AS51" s="88">
        <f t="shared" si="46"/>
        <v>1858.78917</v>
      </c>
      <c r="AT51" s="88">
        <f t="shared" si="46"/>
        <v>1959.514922</v>
      </c>
      <c r="AU51" s="88">
        <f t="shared" si="46"/>
        <v>2065.460767</v>
      </c>
      <c r="AV51" s="88">
        <f t="shared" si="46"/>
        <v>2176.913326</v>
      </c>
      <c r="AW51" s="88">
        <f t="shared" si="46"/>
        <v>2294.174983</v>
      </c>
      <c r="AX51" s="89">
        <f t="shared" si="11"/>
        <v>-0.6375292215</v>
      </c>
      <c r="AY51" s="90">
        <f t="shared" si="37"/>
        <v>-0.003355416955</v>
      </c>
      <c r="AZ51" s="89">
        <f t="shared" si="13"/>
        <v>-81.65063903</v>
      </c>
      <c r="BA51" s="90">
        <f t="shared" si="38"/>
        <v>-5.832188502</v>
      </c>
      <c r="BB51" s="89">
        <f t="shared" si="14"/>
        <v>20</v>
      </c>
      <c r="BC51" s="90">
        <f t="shared" si="39"/>
        <v>20</v>
      </c>
      <c r="BD51" s="89">
        <f t="shared" si="15"/>
        <v>4.444444444</v>
      </c>
      <c r="BE51" s="91">
        <f t="shared" si="34"/>
        <v>8.888888889</v>
      </c>
      <c r="BF51" s="92">
        <f t="shared" si="18"/>
        <v>-57.8437238</v>
      </c>
      <c r="BG51" s="93">
        <f t="shared" si="40"/>
        <v>23.05334497</v>
      </c>
      <c r="BH51" s="1"/>
      <c r="BI51" s="58"/>
      <c r="BJ51" s="58"/>
      <c r="BK51" s="58"/>
      <c r="BL51" s="58"/>
      <c r="BM51" s="58"/>
      <c r="BN51" s="1"/>
      <c r="BO51" s="103"/>
      <c r="BP51" s="103"/>
      <c r="BQ51" s="103"/>
      <c r="BR51" s="103"/>
      <c r="BS51" s="103"/>
      <c r="BT51" s="1"/>
      <c r="BU51" s="58"/>
      <c r="BV51" s="58"/>
      <c r="BW51" s="58"/>
      <c r="BX51" s="58"/>
      <c r="BY51" s="1"/>
      <c r="BZ51" s="58"/>
      <c r="CA51" s="58"/>
      <c r="CB51" s="58"/>
      <c r="CC51" s="58"/>
      <c r="CD51" s="58"/>
    </row>
    <row r="52" ht="19.5" customHeight="1">
      <c r="A52" s="1"/>
      <c r="B52" s="82" t="s">
        <v>68</v>
      </c>
      <c r="C52" s="105">
        <f t="shared" ref="C52:I52" si="47">C42-C48</f>
        <v>34100</v>
      </c>
      <c r="D52" s="105">
        <f t="shared" si="47"/>
        <v>34137</v>
      </c>
      <c r="E52" s="105">
        <f t="shared" si="47"/>
        <v>39378.03954</v>
      </c>
      <c r="F52" s="105">
        <f t="shared" si="47"/>
        <v>45667.90333</v>
      </c>
      <c r="G52" s="105">
        <f t="shared" si="47"/>
        <v>53164.7443</v>
      </c>
      <c r="H52" s="105">
        <f t="shared" si="47"/>
        <v>62066.81717</v>
      </c>
      <c r="I52" s="105">
        <f t="shared" si="47"/>
        <v>72603.38195</v>
      </c>
      <c r="J52" s="1"/>
      <c r="K52" s="84">
        <f t="shared" ref="K52:Q52" si="48">K42-K48</f>
        <v>22200</v>
      </c>
      <c r="L52" s="84">
        <f t="shared" si="48"/>
        <v>22903.96477</v>
      </c>
      <c r="M52" s="84">
        <f t="shared" si="48"/>
        <v>27822.83624</v>
      </c>
      <c r="N52" s="84">
        <f t="shared" si="48"/>
        <v>33736.91398</v>
      </c>
      <c r="O52" s="84">
        <f t="shared" si="48"/>
        <v>40842.0934</v>
      </c>
      <c r="P52" s="84">
        <f t="shared" si="48"/>
        <v>49372.21556</v>
      </c>
      <c r="Q52" s="85">
        <f t="shared" si="48"/>
        <v>59606.33895</v>
      </c>
      <c r="R52" s="1"/>
      <c r="S52" s="84">
        <f t="shared" ref="S52:Y52" si="49">S42-S48</f>
        <v>8750</v>
      </c>
      <c r="T52" s="84">
        <f t="shared" si="49"/>
        <v>9181</v>
      </c>
      <c r="U52" s="84">
        <f t="shared" si="49"/>
        <v>13162.745</v>
      </c>
      <c r="V52" s="84">
        <f t="shared" si="49"/>
        <v>19204.55525</v>
      </c>
      <c r="W52" s="84">
        <f t="shared" si="49"/>
        <v>28039.28594</v>
      </c>
      <c r="X52" s="84">
        <f t="shared" si="49"/>
        <v>41954.33051</v>
      </c>
      <c r="Y52" s="86">
        <f t="shared" si="49"/>
        <v>62060.42086</v>
      </c>
      <c r="Z52" s="1"/>
      <c r="AA52" s="84">
        <f t="shared" ref="AA52:AG52" si="50">AA42-AA48</f>
        <v>6150</v>
      </c>
      <c r="AB52" s="84">
        <f t="shared" si="50"/>
        <v>5490.751111</v>
      </c>
      <c r="AC52" s="84">
        <f t="shared" si="50"/>
        <v>6303.488063</v>
      </c>
      <c r="AD52" s="84">
        <f t="shared" si="50"/>
        <v>7221.562663</v>
      </c>
      <c r="AE52" s="84">
        <f t="shared" si="50"/>
        <v>8258.076279</v>
      </c>
      <c r="AF52" s="84">
        <f t="shared" si="50"/>
        <v>9427.73655</v>
      </c>
      <c r="AG52" s="86">
        <f t="shared" si="50"/>
        <v>10747.0533</v>
      </c>
      <c r="AH52" s="1"/>
      <c r="AI52" s="87">
        <f t="shared" ref="AI52:AO52" si="51">AI42-AI48</f>
        <v>1178.1</v>
      </c>
      <c r="AJ52" s="87">
        <f t="shared" si="51"/>
        <v>1178.1</v>
      </c>
      <c r="AK52" s="87">
        <f t="shared" si="51"/>
        <v>1300.2</v>
      </c>
      <c r="AL52" s="87">
        <f t="shared" si="51"/>
        <v>1421.2</v>
      </c>
      <c r="AM52" s="87">
        <f t="shared" si="51"/>
        <v>1542.2</v>
      </c>
      <c r="AN52" s="87">
        <f t="shared" si="51"/>
        <v>1663.2</v>
      </c>
      <c r="AO52" s="87">
        <f t="shared" si="51"/>
        <v>1784.2</v>
      </c>
      <c r="AP52" s="1"/>
      <c r="AQ52" s="88">
        <f t="shared" ref="AQ52:AW52" si="52">C52+K52+S52+AI52</f>
        <v>66228.1</v>
      </c>
      <c r="AR52" s="88">
        <f t="shared" si="52"/>
        <v>67400.06477</v>
      </c>
      <c r="AS52" s="88">
        <f t="shared" si="52"/>
        <v>81663.82078</v>
      </c>
      <c r="AT52" s="88">
        <f t="shared" si="52"/>
        <v>100030.5726</v>
      </c>
      <c r="AU52" s="88">
        <f t="shared" si="52"/>
        <v>123588.3236</v>
      </c>
      <c r="AV52" s="88">
        <f t="shared" si="52"/>
        <v>155056.5632</v>
      </c>
      <c r="AW52" s="88">
        <f t="shared" si="52"/>
        <v>196054.3418</v>
      </c>
      <c r="AX52" s="89">
        <f t="shared" si="11"/>
        <v>37</v>
      </c>
      <c r="AY52" s="90">
        <f t="shared" si="37"/>
        <v>0.001085043988</v>
      </c>
      <c r="AZ52" s="89">
        <f t="shared" si="13"/>
        <v>703.9647669</v>
      </c>
      <c r="BA52" s="90">
        <f t="shared" si="38"/>
        <v>3.171012463</v>
      </c>
      <c r="BB52" s="89">
        <f t="shared" si="14"/>
        <v>431</v>
      </c>
      <c r="BC52" s="90">
        <f t="shared" si="39"/>
        <v>4.925714286</v>
      </c>
      <c r="BD52" s="89">
        <f t="shared" si="15"/>
        <v>-659.2488889</v>
      </c>
      <c r="BE52" s="91">
        <f t="shared" si="34"/>
        <v>-10.71949413</v>
      </c>
      <c r="BF52" s="92">
        <f t="shared" si="18"/>
        <v>512.715878</v>
      </c>
      <c r="BG52" s="93">
        <f t="shared" si="40"/>
        <v>-2.621682335</v>
      </c>
      <c r="BH52" s="1"/>
      <c r="BI52" s="94"/>
      <c r="BJ52" s="94"/>
      <c r="BK52" s="94"/>
      <c r="BL52" s="94"/>
      <c r="BM52" s="94"/>
      <c r="BN52" s="1"/>
      <c r="BO52" s="95"/>
      <c r="BP52" s="95"/>
      <c r="BQ52" s="95"/>
      <c r="BR52" s="95"/>
      <c r="BS52" s="95"/>
      <c r="BT52" s="1"/>
      <c r="BU52" s="94"/>
      <c r="BV52" s="94"/>
      <c r="BW52" s="94"/>
      <c r="BX52" s="94"/>
      <c r="BY52" s="1"/>
      <c r="BZ52" s="94"/>
      <c r="CA52" s="94"/>
      <c r="CB52" s="94"/>
      <c r="CC52" s="94"/>
      <c r="CD52" s="94"/>
    </row>
    <row r="53" ht="19.5" customHeight="1">
      <c r="A53" s="1"/>
      <c r="B53" s="82" t="s">
        <v>69</v>
      </c>
      <c r="C53" s="105">
        <f t="shared" ref="C53:I53" si="53">SUM(C54:C58)</f>
        <v>15614</v>
      </c>
      <c r="D53" s="105">
        <f t="shared" si="53"/>
        <v>15549</v>
      </c>
      <c r="E53" s="105">
        <f t="shared" si="53"/>
        <v>16723.39668</v>
      </c>
      <c r="F53" s="105">
        <f t="shared" si="53"/>
        <v>17694.80784</v>
      </c>
      <c r="G53" s="105">
        <f t="shared" si="53"/>
        <v>18689.5122</v>
      </c>
      <c r="H53" s="105">
        <f t="shared" si="53"/>
        <v>19698.53762</v>
      </c>
      <c r="I53" s="105">
        <f t="shared" si="53"/>
        <v>20710.00643</v>
      </c>
      <c r="J53" s="1"/>
      <c r="K53" s="84">
        <f t="shared" ref="K53:Q53" si="54">SUM(K54:K58)</f>
        <v>13878</v>
      </c>
      <c r="L53" s="84">
        <f t="shared" si="54"/>
        <v>14001.66903</v>
      </c>
      <c r="M53" s="84">
        <f t="shared" si="54"/>
        <v>14840.8646</v>
      </c>
      <c r="N53" s="84">
        <f t="shared" si="54"/>
        <v>15731.05319</v>
      </c>
      <c r="O53" s="84">
        <f t="shared" si="54"/>
        <v>16675.37803</v>
      </c>
      <c r="P53" s="84">
        <f t="shared" si="54"/>
        <v>17677.17892</v>
      </c>
      <c r="Q53" s="85">
        <f t="shared" si="54"/>
        <v>18740.00472</v>
      </c>
      <c r="R53" s="1"/>
      <c r="S53" s="84">
        <f t="shared" ref="S53:Y53" si="55">SUM(S54:S58)</f>
        <v>8749</v>
      </c>
      <c r="T53" s="84">
        <f t="shared" si="55"/>
        <v>9138</v>
      </c>
      <c r="U53" s="84">
        <f t="shared" si="55"/>
        <v>10277.43</v>
      </c>
      <c r="V53" s="84">
        <f t="shared" si="55"/>
        <v>11588.6463</v>
      </c>
      <c r="W53" s="84">
        <f t="shared" si="55"/>
        <v>13100.36271</v>
      </c>
      <c r="X53" s="84">
        <f t="shared" si="55"/>
        <v>14846.31444</v>
      </c>
      <c r="Y53" s="86">
        <f t="shared" si="55"/>
        <v>17048.39719</v>
      </c>
      <c r="Z53" s="1"/>
      <c r="AA53" s="84">
        <f t="shared" ref="AA53:AG53" si="56">SUM(AA54:AA58)</f>
        <v>3945</v>
      </c>
      <c r="AB53" s="84">
        <f t="shared" si="56"/>
        <v>3944.444444</v>
      </c>
      <c r="AC53" s="84">
        <f t="shared" si="56"/>
        <v>4136.444444</v>
      </c>
      <c r="AD53" s="84">
        <f t="shared" si="56"/>
        <v>4338.489444</v>
      </c>
      <c r="AE53" s="84">
        <f t="shared" si="56"/>
        <v>4551.161919</v>
      </c>
      <c r="AF53" s="84">
        <f t="shared" si="56"/>
        <v>4775.082456</v>
      </c>
      <c r="AG53" s="86">
        <f t="shared" si="56"/>
        <v>5010.912546</v>
      </c>
      <c r="AH53" s="1"/>
      <c r="AI53" s="87">
        <f t="shared" ref="AI53:AO53" si="57">SUM(AI54:AI58)</f>
        <v>1178.1</v>
      </c>
      <c r="AJ53" s="87">
        <f t="shared" si="57"/>
        <v>1178.1</v>
      </c>
      <c r="AK53" s="87">
        <f t="shared" si="57"/>
        <v>1300.2</v>
      </c>
      <c r="AL53" s="87">
        <f t="shared" si="57"/>
        <v>1421.2</v>
      </c>
      <c r="AM53" s="87">
        <f t="shared" si="57"/>
        <v>1542.2</v>
      </c>
      <c r="AN53" s="87">
        <f t="shared" si="57"/>
        <v>1663.2</v>
      </c>
      <c r="AO53" s="87">
        <f t="shared" si="57"/>
        <v>1784.2</v>
      </c>
      <c r="AP53" s="1"/>
      <c r="AQ53" s="88">
        <f t="shared" ref="AQ53:AW53" si="58">C53+K53+S53+AI53</f>
        <v>39419.1</v>
      </c>
      <c r="AR53" s="88">
        <f t="shared" si="58"/>
        <v>39866.76903</v>
      </c>
      <c r="AS53" s="88">
        <f t="shared" si="58"/>
        <v>43141.89128</v>
      </c>
      <c r="AT53" s="88">
        <f t="shared" si="58"/>
        <v>46435.70734</v>
      </c>
      <c r="AU53" s="88">
        <f t="shared" si="58"/>
        <v>50007.45295</v>
      </c>
      <c r="AV53" s="88">
        <f t="shared" si="58"/>
        <v>53885.23098</v>
      </c>
      <c r="AW53" s="88">
        <f t="shared" si="58"/>
        <v>58282.60834</v>
      </c>
      <c r="AX53" s="89">
        <f t="shared" si="11"/>
        <v>-65</v>
      </c>
      <c r="AY53" s="90">
        <f t="shared" si="37"/>
        <v>-0.004162930703</v>
      </c>
      <c r="AZ53" s="89">
        <f t="shared" si="13"/>
        <v>123.6690273</v>
      </c>
      <c r="BA53" s="90">
        <f t="shared" si="38"/>
        <v>0.8911156313</v>
      </c>
      <c r="BB53" s="89">
        <f t="shared" si="14"/>
        <v>389</v>
      </c>
      <c r="BC53" s="90">
        <f t="shared" si="39"/>
        <v>4.446222425</v>
      </c>
      <c r="BD53" s="89">
        <f t="shared" si="15"/>
        <v>-0.5555555556</v>
      </c>
      <c r="BE53" s="91">
        <f t="shared" si="34"/>
        <v>-0.01408252359</v>
      </c>
      <c r="BF53" s="92">
        <f t="shared" si="18"/>
        <v>447.1134718</v>
      </c>
      <c r="BG53" s="93">
        <f t="shared" si="40"/>
        <v>5.319092602</v>
      </c>
      <c r="BH53" s="1"/>
      <c r="BI53" s="94"/>
      <c r="BJ53" s="94"/>
      <c r="BK53" s="94"/>
      <c r="BL53" s="94"/>
      <c r="BM53" s="94"/>
      <c r="BN53" s="1"/>
      <c r="BO53" s="95"/>
      <c r="BP53" s="95"/>
      <c r="BQ53" s="95"/>
      <c r="BR53" s="95"/>
      <c r="BS53" s="95"/>
      <c r="BT53" s="1"/>
      <c r="BU53" s="94"/>
      <c r="BV53" s="94"/>
      <c r="BW53" s="94"/>
      <c r="BX53" s="94"/>
      <c r="BY53" s="1"/>
      <c r="BZ53" s="95"/>
      <c r="CA53" s="95"/>
      <c r="CB53" s="95"/>
      <c r="CC53" s="95"/>
      <c r="CD53" s="95"/>
    </row>
    <row r="54" ht="19.5" customHeight="1">
      <c r="A54" s="1"/>
      <c r="B54" s="96" t="s">
        <v>70</v>
      </c>
      <c r="C54" s="106">
        <v>7400.0</v>
      </c>
      <c r="D54" s="106">
        <v>7405.166666666667</v>
      </c>
      <c r="E54" s="107">
        <f t="shared" ref="E54:I54" si="59">D54*(1+E13)</f>
        <v>7849.476667</v>
      </c>
      <c r="F54" s="107">
        <f t="shared" si="59"/>
        <v>8320.445267</v>
      </c>
      <c r="G54" s="107">
        <f t="shared" si="59"/>
        <v>8819.671983</v>
      </c>
      <c r="H54" s="107">
        <f t="shared" si="59"/>
        <v>9348.852302</v>
      </c>
      <c r="I54" s="107">
        <f t="shared" si="59"/>
        <v>9909.78344</v>
      </c>
      <c r="J54" s="1"/>
      <c r="K54" s="99">
        <v>4600.0</v>
      </c>
      <c r="L54" s="99">
        <v>4606.9184020413795</v>
      </c>
      <c r="M54" s="98">
        <v>4929.402690184276</v>
      </c>
      <c r="N54" s="98">
        <v>5274.460878497176</v>
      </c>
      <c r="O54" s="98">
        <v>5643.673139991979</v>
      </c>
      <c r="P54" s="98">
        <v>6038.730259791418</v>
      </c>
      <c r="Q54" s="98">
        <v>6461.441377976817</v>
      </c>
      <c r="R54" s="1"/>
      <c r="S54" s="99">
        <v>2700.0</v>
      </c>
      <c r="T54" s="100">
        <v>2715.0</v>
      </c>
      <c r="U54" s="98">
        <v>2905.05</v>
      </c>
      <c r="V54" s="98">
        <v>3108.4035000000003</v>
      </c>
      <c r="W54" s="98">
        <v>3325.9917450000007</v>
      </c>
      <c r="X54" s="98">
        <v>3558.811167150001</v>
      </c>
      <c r="Y54" s="98">
        <v>3807.9279488505013</v>
      </c>
      <c r="Z54" s="1"/>
      <c r="AA54" s="99">
        <v>3180.0</v>
      </c>
      <c r="AB54" s="100">
        <v>3177.777777777778</v>
      </c>
      <c r="AC54" s="98">
        <v>3320.777777777778</v>
      </c>
      <c r="AD54" s="98">
        <v>3470.212777777778</v>
      </c>
      <c r="AE54" s="98">
        <v>3626.3723527777775</v>
      </c>
      <c r="AF54" s="98">
        <v>3789.559108652777</v>
      </c>
      <c r="AG54" s="98">
        <v>3960.089268542152</v>
      </c>
      <c r="AH54" s="1"/>
      <c r="AI54" s="104">
        <v>0.0</v>
      </c>
      <c r="AJ54" s="104">
        <v>0.0</v>
      </c>
      <c r="AK54" s="104">
        <v>0.0</v>
      </c>
      <c r="AL54" s="104">
        <v>0.0</v>
      </c>
      <c r="AM54" s="104">
        <v>0.0</v>
      </c>
      <c r="AN54" s="104">
        <v>0.0</v>
      </c>
      <c r="AO54" s="104">
        <v>0.0</v>
      </c>
      <c r="AP54" s="1"/>
      <c r="AQ54" s="88">
        <f t="shared" ref="AQ54:AW54" si="60">C54+K54+S54+AI54</f>
        <v>14700</v>
      </c>
      <c r="AR54" s="88">
        <f t="shared" si="60"/>
        <v>14727.08507</v>
      </c>
      <c r="AS54" s="88">
        <f t="shared" si="60"/>
        <v>15683.92936</v>
      </c>
      <c r="AT54" s="88">
        <f t="shared" si="60"/>
        <v>16703.30965</v>
      </c>
      <c r="AU54" s="88">
        <f t="shared" si="60"/>
        <v>17789.33687</v>
      </c>
      <c r="AV54" s="88">
        <f t="shared" si="60"/>
        <v>18946.39373</v>
      </c>
      <c r="AW54" s="88">
        <f t="shared" si="60"/>
        <v>20179.15277</v>
      </c>
      <c r="AX54" s="89">
        <f t="shared" si="11"/>
        <v>5.166666667</v>
      </c>
      <c r="AY54" s="90">
        <f t="shared" si="37"/>
        <v>0.0006981981982</v>
      </c>
      <c r="AZ54" s="89">
        <f t="shared" si="13"/>
        <v>6.918402041</v>
      </c>
      <c r="BA54" s="90">
        <f t="shared" si="38"/>
        <v>0.1504000444</v>
      </c>
      <c r="BB54" s="89">
        <f t="shared" si="14"/>
        <v>15</v>
      </c>
      <c r="BC54" s="90">
        <f t="shared" si="39"/>
        <v>0.5555555556</v>
      </c>
      <c r="BD54" s="89">
        <f t="shared" si="15"/>
        <v>-2.222222222</v>
      </c>
      <c r="BE54" s="91">
        <f t="shared" si="34"/>
        <v>-0.06988120196</v>
      </c>
      <c r="BF54" s="92">
        <f t="shared" si="18"/>
        <v>24.86284649</v>
      </c>
      <c r="BG54" s="93">
        <f t="shared" si="40"/>
        <v>0.6367725962</v>
      </c>
      <c r="BH54" s="1"/>
      <c r="BI54" s="58"/>
      <c r="BJ54" s="58"/>
      <c r="BK54" s="58"/>
      <c r="BL54" s="58"/>
      <c r="BM54" s="58"/>
      <c r="BN54" s="1"/>
      <c r="BO54" s="103"/>
      <c r="BP54" s="103"/>
      <c r="BQ54" s="103"/>
      <c r="BR54" s="103"/>
      <c r="BS54" s="103"/>
      <c r="BT54" s="1"/>
      <c r="BU54" s="58"/>
      <c r="BV54" s="58"/>
      <c r="BW54" s="58"/>
      <c r="BX54" s="58"/>
      <c r="BY54" s="1"/>
      <c r="BZ54" s="58"/>
      <c r="CA54" s="58"/>
      <c r="CB54" s="58"/>
      <c r="CC54" s="58"/>
      <c r="CD54" s="58"/>
    </row>
    <row r="55" ht="19.5" customHeight="1">
      <c r="A55" s="1"/>
      <c r="B55" s="96" t="s">
        <v>71</v>
      </c>
      <c r="C55" s="106">
        <v>864.0</v>
      </c>
      <c r="D55" s="106">
        <v>863.8333333333331</v>
      </c>
      <c r="E55" s="107">
        <f t="shared" ref="E55:I55" si="61">D55*(1+E12)</f>
        <v>907.025</v>
      </c>
      <c r="F55" s="107">
        <f t="shared" si="61"/>
        <v>952.37625</v>
      </c>
      <c r="G55" s="107">
        <f t="shared" si="61"/>
        <v>999.9950625</v>
      </c>
      <c r="H55" s="107">
        <f t="shared" si="61"/>
        <v>1049.994816</v>
      </c>
      <c r="I55" s="107">
        <f t="shared" si="61"/>
        <v>1102.494556</v>
      </c>
      <c r="J55" s="1"/>
      <c r="K55" s="99">
        <v>778.0</v>
      </c>
      <c r="L55" s="99">
        <v>777.8705015172415</v>
      </c>
      <c r="M55" s="98">
        <v>820.6533791006897</v>
      </c>
      <c r="N55" s="98">
        <v>865.7893149512275</v>
      </c>
      <c r="O55" s="98">
        <v>913.407727273545</v>
      </c>
      <c r="P55" s="98">
        <v>963.6451522735899</v>
      </c>
      <c r="Q55" s="98">
        <v>1016.6456356486373</v>
      </c>
      <c r="R55" s="1"/>
      <c r="S55" s="99">
        <v>549.0</v>
      </c>
      <c r="T55" s="100">
        <v>549.0</v>
      </c>
      <c r="U55" s="98">
        <v>581.94</v>
      </c>
      <c r="V55" s="98">
        <v>616.8564000000001</v>
      </c>
      <c r="W55" s="98">
        <v>653.8677840000001</v>
      </c>
      <c r="X55" s="98">
        <v>693.0998510400002</v>
      </c>
      <c r="Y55" s="98">
        <v>734.6858421024002</v>
      </c>
      <c r="Z55" s="1"/>
      <c r="AA55" s="99">
        <v>200.0</v>
      </c>
      <c r="AB55" s="100">
        <v>200.0</v>
      </c>
      <c r="AC55" s="98">
        <v>208.0</v>
      </c>
      <c r="AD55" s="98">
        <v>216.32</v>
      </c>
      <c r="AE55" s="98">
        <v>224.9728</v>
      </c>
      <c r="AF55" s="98">
        <v>233.97171200000003</v>
      </c>
      <c r="AG55" s="98">
        <v>243.33058048000004</v>
      </c>
      <c r="AH55" s="1"/>
      <c r="AI55" s="104">
        <v>0.0</v>
      </c>
      <c r="AJ55" s="104">
        <v>0.0</v>
      </c>
      <c r="AK55" s="104">
        <v>0.0</v>
      </c>
      <c r="AL55" s="104">
        <v>0.0</v>
      </c>
      <c r="AM55" s="104">
        <v>0.0</v>
      </c>
      <c r="AN55" s="104">
        <v>0.0</v>
      </c>
      <c r="AO55" s="104">
        <v>0.0</v>
      </c>
      <c r="AP55" s="1"/>
      <c r="AQ55" s="88">
        <f t="shared" ref="AQ55:AW55" si="62">C55+K55+S55+AI55</f>
        <v>2191</v>
      </c>
      <c r="AR55" s="88">
        <f t="shared" si="62"/>
        <v>2190.703835</v>
      </c>
      <c r="AS55" s="88">
        <f t="shared" si="62"/>
        <v>2309.618379</v>
      </c>
      <c r="AT55" s="88">
        <f t="shared" si="62"/>
        <v>2435.021965</v>
      </c>
      <c r="AU55" s="88">
        <f t="shared" si="62"/>
        <v>2567.270574</v>
      </c>
      <c r="AV55" s="88">
        <f t="shared" si="62"/>
        <v>2706.739819</v>
      </c>
      <c r="AW55" s="88">
        <f t="shared" si="62"/>
        <v>2853.826034</v>
      </c>
      <c r="AX55" s="89">
        <f t="shared" si="11"/>
        <v>-0.1666666667</v>
      </c>
      <c r="AY55" s="90">
        <f t="shared" si="37"/>
        <v>-0.0001929012346</v>
      </c>
      <c r="AZ55" s="89">
        <f t="shared" si="13"/>
        <v>-0.1294984828</v>
      </c>
      <c r="BA55" s="90">
        <f t="shared" si="38"/>
        <v>-0.0166450492</v>
      </c>
      <c r="BB55" s="89">
        <f t="shared" si="14"/>
        <v>0</v>
      </c>
      <c r="BC55" s="90">
        <f t="shared" si="39"/>
        <v>0</v>
      </c>
      <c r="BD55" s="89">
        <f t="shared" si="15"/>
        <v>0</v>
      </c>
      <c r="BE55" s="91">
        <f t="shared" si="34"/>
        <v>0</v>
      </c>
      <c r="BF55" s="92">
        <f t="shared" si="18"/>
        <v>-0.2961651494</v>
      </c>
      <c r="BG55" s="93">
        <f t="shared" si="40"/>
        <v>-0.01683795043</v>
      </c>
      <c r="BH55" s="1"/>
      <c r="BI55" s="58"/>
      <c r="BJ55" s="58"/>
      <c r="BK55" s="58"/>
      <c r="BL55" s="58"/>
      <c r="BM55" s="58"/>
      <c r="BN55" s="1"/>
      <c r="BO55" s="103"/>
      <c r="BP55" s="103"/>
      <c r="BQ55" s="103"/>
      <c r="BR55" s="103"/>
      <c r="BS55" s="103"/>
      <c r="BT55" s="1"/>
      <c r="BU55" s="58"/>
      <c r="BV55" s="58"/>
      <c r="BW55" s="58"/>
      <c r="BX55" s="58"/>
      <c r="BY55" s="1"/>
      <c r="BZ55" s="58"/>
      <c r="CA55" s="58"/>
      <c r="CB55" s="58"/>
      <c r="CC55" s="58"/>
      <c r="CD55" s="58"/>
    </row>
    <row r="56" ht="19.5" customHeight="1">
      <c r="A56" s="1"/>
      <c r="B56" s="96" t="s">
        <v>72</v>
      </c>
      <c r="C56" s="106">
        <v>3800.0</v>
      </c>
      <c r="D56" s="106">
        <v>3767.0</v>
      </c>
      <c r="E56" s="107">
        <f t="shared" ref="E56:I56" si="63">E18/1000*E17</f>
        <v>4278.245011</v>
      </c>
      <c r="F56" s="107">
        <f t="shared" si="63"/>
        <v>4548.903825</v>
      </c>
      <c r="G56" s="107">
        <f t="shared" si="63"/>
        <v>4803.108534</v>
      </c>
      <c r="H56" s="107">
        <f t="shared" si="63"/>
        <v>5029.617045</v>
      </c>
      <c r="I56" s="107">
        <f t="shared" si="63"/>
        <v>5214.15131</v>
      </c>
      <c r="J56" s="1"/>
      <c r="K56" s="99">
        <v>6800.0</v>
      </c>
      <c r="L56" s="99">
        <v>6871.189430068967</v>
      </c>
      <c r="M56" s="98">
        <v>7249.10484872276</v>
      </c>
      <c r="N56" s="98">
        <v>7647.805615402512</v>
      </c>
      <c r="O56" s="98">
        <v>8068.434924249649</v>
      </c>
      <c r="P56" s="98">
        <v>8512.19884508338</v>
      </c>
      <c r="Q56" s="98">
        <v>8980.369781562966</v>
      </c>
      <c r="R56" s="1"/>
      <c r="S56" s="99">
        <v>4400.0</v>
      </c>
      <c r="T56" s="100">
        <v>4700.0</v>
      </c>
      <c r="U56" s="98">
        <v>5546.0</v>
      </c>
      <c r="V56" s="98">
        <v>6544.28</v>
      </c>
      <c r="W56" s="98">
        <v>7722.250399999999</v>
      </c>
      <c r="X56" s="98">
        <v>9112.255471999999</v>
      </c>
      <c r="Y56" s="98">
        <v>10934.706566399998</v>
      </c>
      <c r="Z56" s="1"/>
      <c r="AA56" s="99">
        <v>360.0</v>
      </c>
      <c r="AB56" s="100">
        <v>366.6666666666667</v>
      </c>
      <c r="AC56" s="98">
        <v>399.66666666666674</v>
      </c>
      <c r="AD56" s="98">
        <v>435.63666666666677</v>
      </c>
      <c r="AE56" s="98">
        <v>474.8439666666668</v>
      </c>
      <c r="AF56" s="98">
        <v>517.5799236666669</v>
      </c>
      <c r="AG56" s="98">
        <v>564.162116796667</v>
      </c>
      <c r="AH56" s="1"/>
      <c r="AI56" s="104">
        <v>0.0</v>
      </c>
      <c r="AJ56" s="104">
        <v>0.0</v>
      </c>
      <c r="AK56" s="104">
        <v>0.0</v>
      </c>
      <c r="AL56" s="104">
        <v>0.0</v>
      </c>
      <c r="AM56" s="104">
        <v>0.0</v>
      </c>
      <c r="AN56" s="104">
        <v>0.0</v>
      </c>
      <c r="AO56" s="104">
        <v>0.0</v>
      </c>
      <c r="AP56" s="1"/>
      <c r="AQ56" s="88">
        <f t="shared" ref="AQ56:AW56" si="64">C56+K56+S56+AI56</f>
        <v>15000</v>
      </c>
      <c r="AR56" s="88">
        <f t="shared" si="64"/>
        <v>15338.18943</v>
      </c>
      <c r="AS56" s="88">
        <f t="shared" si="64"/>
        <v>17073.34986</v>
      </c>
      <c r="AT56" s="88">
        <f t="shared" si="64"/>
        <v>18740.98944</v>
      </c>
      <c r="AU56" s="88">
        <f t="shared" si="64"/>
        <v>20593.79386</v>
      </c>
      <c r="AV56" s="88">
        <f t="shared" si="64"/>
        <v>22654.07136</v>
      </c>
      <c r="AW56" s="88">
        <f t="shared" si="64"/>
        <v>25129.22766</v>
      </c>
      <c r="AX56" s="89">
        <f t="shared" si="11"/>
        <v>-33</v>
      </c>
      <c r="AY56" s="90">
        <f t="shared" si="37"/>
        <v>-0.008684210526</v>
      </c>
      <c r="AZ56" s="89">
        <f t="shared" si="13"/>
        <v>71.18943007</v>
      </c>
      <c r="BA56" s="90">
        <f t="shared" si="38"/>
        <v>1.046903383</v>
      </c>
      <c r="BB56" s="89">
        <f t="shared" si="14"/>
        <v>300</v>
      </c>
      <c r="BC56" s="90">
        <f t="shared" si="39"/>
        <v>6.818181818</v>
      </c>
      <c r="BD56" s="89">
        <f t="shared" si="15"/>
        <v>6.666666667</v>
      </c>
      <c r="BE56" s="91">
        <f t="shared" si="34"/>
        <v>1.851851852</v>
      </c>
      <c r="BF56" s="92">
        <f t="shared" si="18"/>
        <v>344.8560967</v>
      </c>
      <c r="BG56" s="93">
        <f t="shared" si="40"/>
        <v>9.708252843</v>
      </c>
      <c r="BH56" s="1"/>
      <c r="BI56" s="58"/>
      <c r="BJ56" s="58"/>
      <c r="BK56" s="58"/>
      <c r="BL56" s="58"/>
      <c r="BM56" s="58"/>
      <c r="BN56" s="1"/>
      <c r="BO56" s="103"/>
      <c r="BP56" s="103"/>
      <c r="BQ56" s="103"/>
      <c r="BR56" s="103"/>
      <c r="BS56" s="103"/>
      <c r="BT56" s="1"/>
      <c r="BU56" s="58"/>
      <c r="BV56" s="58"/>
      <c r="BW56" s="58"/>
      <c r="BX56" s="58"/>
      <c r="BY56" s="1"/>
      <c r="BZ56" s="58"/>
      <c r="CA56" s="58"/>
      <c r="CB56" s="58"/>
      <c r="CC56" s="58"/>
      <c r="CD56" s="58"/>
    </row>
    <row r="57" ht="19.5" customHeight="1">
      <c r="A57" s="1"/>
      <c r="B57" s="96" t="s">
        <v>66</v>
      </c>
      <c r="C57" s="106">
        <v>2350.0</v>
      </c>
      <c r="D57" s="106">
        <v>2331.0</v>
      </c>
      <c r="E57" s="107">
        <f t="shared" ref="E57:I57" si="65">D57*(1+E12)</f>
        <v>2447.55</v>
      </c>
      <c r="F57" s="107">
        <f t="shared" si="65"/>
        <v>2569.9275</v>
      </c>
      <c r="G57" s="107">
        <f t="shared" si="65"/>
        <v>2698.423875</v>
      </c>
      <c r="H57" s="107">
        <f t="shared" si="65"/>
        <v>2833.345069</v>
      </c>
      <c r="I57" s="107">
        <f t="shared" si="65"/>
        <v>2975.012322</v>
      </c>
      <c r="J57" s="1"/>
      <c r="K57" s="99">
        <v>1500.0</v>
      </c>
      <c r="L57" s="99">
        <v>1555.741003034483</v>
      </c>
      <c r="M57" s="98">
        <v>1641.3067582013794</v>
      </c>
      <c r="N57" s="98">
        <v>1731.578629902455</v>
      </c>
      <c r="O57" s="98">
        <v>1826.81545454709</v>
      </c>
      <c r="P57" s="98">
        <v>1927.2903045471799</v>
      </c>
      <c r="Q57" s="98">
        <v>2033.2912712972745</v>
      </c>
      <c r="R57" s="1"/>
      <c r="S57" s="99">
        <v>1000.0</v>
      </c>
      <c r="T57" s="100">
        <v>1024.0</v>
      </c>
      <c r="U57" s="98">
        <v>1085.44</v>
      </c>
      <c r="V57" s="98">
        <v>1150.5664000000002</v>
      </c>
      <c r="W57" s="98">
        <v>1219.6003840000003</v>
      </c>
      <c r="X57" s="98">
        <v>1292.7764070400003</v>
      </c>
      <c r="Y57" s="98">
        <v>1370.3429914624005</v>
      </c>
      <c r="Z57" s="1"/>
      <c r="AA57" s="99">
        <v>200.0</v>
      </c>
      <c r="AB57" s="100">
        <v>196.0</v>
      </c>
      <c r="AC57" s="98">
        <v>203.84</v>
      </c>
      <c r="AD57" s="98">
        <v>211.99360000000001</v>
      </c>
      <c r="AE57" s="98">
        <v>220.47334400000003</v>
      </c>
      <c r="AF57" s="98">
        <v>229.29227776000005</v>
      </c>
      <c r="AG57" s="98">
        <v>238.46396887040007</v>
      </c>
      <c r="AH57" s="1"/>
      <c r="AI57" s="104">
        <v>0.0</v>
      </c>
      <c r="AJ57" s="104">
        <v>0.0</v>
      </c>
      <c r="AK57" s="104">
        <v>0.0</v>
      </c>
      <c r="AL57" s="104">
        <v>0.0</v>
      </c>
      <c r="AM57" s="104">
        <v>0.0</v>
      </c>
      <c r="AN57" s="104">
        <v>0.0</v>
      </c>
      <c r="AO57" s="104">
        <v>0.0</v>
      </c>
      <c r="AP57" s="1"/>
      <c r="AQ57" s="88">
        <f t="shared" ref="AQ57:AW57" si="66">C57+K57+S57+AI57</f>
        <v>4850</v>
      </c>
      <c r="AR57" s="88">
        <f t="shared" si="66"/>
        <v>4910.741003</v>
      </c>
      <c r="AS57" s="88">
        <f t="shared" si="66"/>
        <v>5174.296758</v>
      </c>
      <c r="AT57" s="88">
        <f t="shared" si="66"/>
        <v>5452.07253</v>
      </c>
      <c r="AU57" s="88">
        <f t="shared" si="66"/>
        <v>5744.839714</v>
      </c>
      <c r="AV57" s="88">
        <f t="shared" si="66"/>
        <v>6053.41178</v>
      </c>
      <c r="AW57" s="88">
        <f t="shared" si="66"/>
        <v>6378.646585</v>
      </c>
      <c r="AX57" s="89">
        <f t="shared" si="11"/>
        <v>-19</v>
      </c>
      <c r="AY57" s="90">
        <f t="shared" si="37"/>
        <v>-0.008085106383</v>
      </c>
      <c r="AZ57" s="89">
        <f t="shared" si="13"/>
        <v>55.74100303</v>
      </c>
      <c r="BA57" s="90">
        <f t="shared" si="38"/>
        <v>3.716066869</v>
      </c>
      <c r="BB57" s="89">
        <f t="shared" si="14"/>
        <v>24</v>
      </c>
      <c r="BC57" s="90">
        <f t="shared" si="39"/>
        <v>2.4</v>
      </c>
      <c r="BD57" s="89">
        <f t="shared" si="15"/>
        <v>-4</v>
      </c>
      <c r="BE57" s="91">
        <f t="shared" si="34"/>
        <v>-2</v>
      </c>
      <c r="BF57" s="92">
        <f t="shared" si="18"/>
        <v>56.74100303</v>
      </c>
      <c r="BG57" s="93">
        <f t="shared" si="40"/>
        <v>4.107981763</v>
      </c>
      <c r="BH57" s="1"/>
      <c r="BI57" s="58"/>
      <c r="BJ57" s="58"/>
      <c r="BK57" s="58"/>
      <c r="BL57" s="58"/>
      <c r="BM57" s="58"/>
      <c r="BN57" s="1"/>
      <c r="BO57" s="103"/>
      <c r="BP57" s="103"/>
      <c r="BQ57" s="103"/>
      <c r="BR57" s="103"/>
      <c r="BS57" s="103"/>
      <c r="BT57" s="1"/>
      <c r="BU57" s="58"/>
      <c r="BV57" s="58"/>
      <c r="BW57" s="58"/>
      <c r="BX57" s="58"/>
      <c r="BY57" s="1"/>
      <c r="BZ57" s="58"/>
      <c r="CA57" s="58"/>
      <c r="CB57" s="58"/>
      <c r="CC57" s="58"/>
      <c r="CD57" s="58"/>
    </row>
    <row r="58" ht="19.5" customHeight="1">
      <c r="A58" s="1"/>
      <c r="B58" s="96" t="s">
        <v>67</v>
      </c>
      <c r="C58" s="106">
        <v>1200.0</v>
      </c>
      <c r="D58" s="106">
        <v>1182.0</v>
      </c>
      <c r="E58" s="107">
        <f t="shared" ref="E58:I58" si="67">D58*(1+E12)</f>
        <v>1241.1</v>
      </c>
      <c r="F58" s="107">
        <f t="shared" si="67"/>
        <v>1303.155</v>
      </c>
      <c r="G58" s="107">
        <f t="shared" si="67"/>
        <v>1368.31275</v>
      </c>
      <c r="H58" s="107">
        <f t="shared" si="67"/>
        <v>1436.728388</v>
      </c>
      <c r="I58" s="107">
        <f t="shared" si="67"/>
        <v>1508.564807</v>
      </c>
      <c r="J58" s="1"/>
      <c r="K58" s="99">
        <v>200.0</v>
      </c>
      <c r="L58" s="99">
        <v>189.94969064827515</v>
      </c>
      <c r="M58" s="98">
        <v>200.39692363393027</v>
      </c>
      <c r="N58" s="98">
        <v>211.41875443379644</v>
      </c>
      <c r="O58" s="98">
        <v>223.04678592765524</v>
      </c>
      <c r="P58" s="98">
        <v>235.31435915367626</v>
      </c>
      <c r="Q58" s="98">
        <v>248.25664890712844</v>
      </c>
      <c r="R58" s="1"/>
      <c r="S58" s="99">
        <v>100.0</v>
      </c>
      <c r="T58" s="100">
        <v>150.0</v>
      </c>
      <c r="U58" s="98">
        <v>159.0</v>
      </c>
      <c r="V58" s="98">
        <v>168.54000000000002</v>
      </c>
      <c r="W58" s="98">
        <v>178.65240000000003</v>
      </c>
      <c r="X58" s="98">
        <v>189.37154400000003</v>
      </c>
      <c r="Y58" s="98">
        <v>200.73383664000005</v>
      </c>
      <c r="Z58" s="1"/>
      <c r="AA58" s="99">
        <v>5.0</v>
      </c>
      <c r="AB58" s="100">
        <v>4.0</v>
      </c>
      <c r="AC58" s="98">
        <v>4.16</v>
      </c>
      <c r="AD58" s="98">
        <v>4.3264000000000005</v>
      </c>
      <c r="AE58" s="98">
        <v>4.499456</v>
      </c>
      <c r="AF58" s="98">
        <v>4.679434240000001</v>
      </c>
      <c r="AG58" s="98">
        <v>4.866611609600001</v>
      </c>
      <c r="AH58" s="1"/>
      <c r="AI58" s="104">
        <f t="shared" ref="AI58:AO58" si="68">AI45</f>
        <v>1178.1</v>
      </c>
      <c r="AJ58" s="104">
        <f t="shared" si="68"/>
        <v>1178.1</v>
      </c>
      <c r="AK58" s="104">
        <f t="shared" si="68"/>
        <v>1300.2</v>
      </c>
      <c r="AL58" s="104">
        <f t="shared" si="68"/>
        <v>1421.2</v>
      </c>
      <c r="AM58" s="104">
        <f t="shared" si="68"/>
        <v>1542.2</v>
      </c>
      <c r="AN58" s="104">
        <f t="shared" si="68"/>
        <v>1663.2</v>
      </c>
      <c r="AO58" s="104">
        <f t="shared" si="68"/>
        <v>1784.2</v>
      </c>
      <c r="AP58" s="1"/>
      <c r="AQ58" s="88">
        <f t="shared" ref="AQ58:AW58" si="69">C58+K58+S58+AI58</f>
        <v>2678.1</v>
      </c>
      <c r="AR58" s="88">
        <f t="shared" si="69"/>
        <v>2700.049691</v>
      </c>
      <c r="AS58" s="88">
        <f t="shared" si="69"/>
        <v>2900.696924</v>
      </c>
      <c r="AT58" s="88">
        <f t="shared" si="69"/>
        <v>3104.313754</v>
      </c>
      <c r="AU58" s="88">
        <f t="shared" si="69"/>
        <v>3312.211936</v>
      </c>
      <c r="AV58" s="88">
        <f t="shared" si="69"/>
        <v>3524.614291</v>
      </c>
      <c r="AW58" s="88">
        <f t="shared" si="69"/>
        <v>3741.755292</v>
      </c>
      <c r="AX58" s="89">
        <f t="shared" si="11"/>
        <v>-18</v>
      </c>
      <c r="AY58" s="90">
        <f t="shared" si="37"/>
        <v>-0.015</v>
      </c>
      <c r="AZ58" s="89">
        <f t="shared" si="13"/>
        <v>-10.05030935</v>
      </c>
      <c r="BA58" s="90">
        <f t="shared" si="38"/>
        <v>-5.025154676</v>
      </c>
      <c r="BB58" s="89">
        <f t="shared" si="14"/>
        <v>50</v>
      </c>
      <c r="BC58" s="90">
        <f t="shared" si="39"/>
        <v>50</v>
      </c>
      <c r="BD58" s="89">
        <f t="shared" si="15"/>
        <v>-1</v>
      </c>
      <c r="BE58" s="91">
        <f t="shared" si="34"/>
        <v>-20</v>
      </c>
      <c r="BF58" s="92">
        <f t="shared" si="18"/>
        <v>20.94969065</v>
      </c>
      <c r="BG58" s="93">
        <f t="shared" si="40"/>
        <v>24.95984532</v>
      </c>
      <c r="BH58" s="1"/>
      <c r="BI58" s="58"/>
      <c r="BJ58" s="58"/>
      <c r="BK58" s="58"/>
      <c r="BL58" s="58"/>
      <c r="BM58" s="58"/>
      <c r="BN58" s="1"/>
      <c r="BO58" s="103"/>
      <c r="BP58" s="103"/>
      <c r="BQ58" s="103"/>
      <c r="BR58" s="103"/>
      <c r="BS58" s="103"/>
      <c r="BT58" s="1"/>
      <c r="BU58" s="58"/>
      <c r="BV58" s="58"/>
      <c r="BW58" s="58"/>
      <c r="BX58" s="58"/>
      <c r="BY58" s="1"/>
      <c r="BZ58" s="58"/>
      <c r="CA58" s="58"/>
      <c r="CB58" s="58"/>
      <c r="CC58" s="58"/>
      <c r="CD58" s="58"/>
    </row>
    <row r="59" ht="19.5" customHeight="1">
      <c r="A59" s="1"/>
      <c r="B59" s="82" t="s">
        <v>73</v>
      </c>
      <c r="C59" s="105">
        <f t="shared" ref="C59:I59" si="70">C52-C53</f>
        <v>18486</v>
      </c>
      <c r="D59" s="105">
        <f t="shared" si="70"/>
        <v>18588</v>
      </c>
      <c r="E59" s="105">
        <f t="shared" si="70"/>
        <v>22654.64287</v>
      </c>
      <c r="F59" s="105">
        <f t="shared" si="70"/>
        <v>27973.09549</v>
      </c>
      <c r="G59" s="105">
        <f t="shared" si="70"/>
        <v>34475.23209</v>
      </c>
      <c r="H59" s="105">
        <f t="shared" si="70"/>
        <v>42368.27955</v>
      </c>
      <c r="I59" s="105">
        <f t="shared" si="70"/>
        <v>51893.37551</v>
      </c>
      <c r="J59" s="1"/>
      <c r="K59" s="84">
        <f t="shared" ref="K59:Q59" si="71">K52-K53</f>
        <v>8322</v>
      </c>
      <c r="L59" s="84">
        <f t="shared" si="71"/>
        <v>8902.29574</v>
      </c>
      <c r="M59" s="84">
        <f t="shared" si="71"/>
        <v>12981.97164</v>
      </c>
      <c r="N59" s="84">
        <f t="shared" si="71"/>
        <v>18005.86079</v>
      </c>
      <c r="O59" s="84">
        <f t="shared" si="71"/>
        <v>24166.71537</v>
      </c>
      <c r="P59" s="84">
        <f t="shared" si="71"/>
        <v>31695.03664</v>
      </c>
      <c r="Q59" s="85">
        <f t="shared" si="71"/>
        <v>40866.33424</v>
      </c>
      <c r="R59" s="1"/>
      <c r="S59" s="84">
        <f t="shared" ref="S59:Y59" si="72">S52-S53</f>
        <v>1</v>
      </c>
      <c r="T59" s="84">
        <f t="shared" si="72"/>
        <v>43</v>
      </c>
      <c r="U59" s="84">
        <f t="shared" si="72"/>
        <v>2885.315</v>
      </c>
      <c r="V59" s="84">
        <f t="shared" si="72"/>
        <v>7615.90895</v>
      </c>
      <c r="W59" s="84">
        <f t="shared" si="72"/>
        <v>14938.92323</v>
      </c>
      <c r="X59" s="84">
        <f t="shared" si="72"/>
        <v>27108.01607</v>
      </c>
      <c r="Y59" s="86">
        <f t="shared" si="72"/>
        <v>45012.02367</v>
      </c>
      <c r="Z59" s="1"/>
      <c r="AA59" s="84">
        <f t="shared" ref="AA59:AG59" si="73">AA52-AA53</f>
        <v>2205</v>
      </c>
      <c r="AB59" s="84">
        <f t="shared" si="73"/>
        <v>1546.306667</v>
      </c>
      <c r="AC59" s="84">
        <f t="shared" si="73"/>
        <v>2167.043619</v>
      </c>
      <c r="AD59" s="84">
        <f t="shared" si="73"/>
        <v>2883.073218</v>
      </c>
      <c r="AE59" s="84">
        <f t="shared" si="73"/>
        <v>3706.914359</v>
      </c>
      <c r="AF59" s="84">
        <f t="shared" si="73"/>
        <v>4652.654093</v>
      </c>
      <c r="AG59" s="86">
        <f t="shared" si="73"/>
        <v>5736.140754</v>
      </c>
      <c r="AH59" s="1"/>
      <c r="AI59" s="87">
        <f t="shared" ref="AI59:AO59" si="74">AI52-AI53</f>
        <v>0</v>
      </c>
      <c r="AJ59" s="87">
        <f t="shared" si="74"/>
        <v>0</v>
      </c>
      <c r="AK59" s="87">
        <f t="shared" si="74"/>
        <v>0</v>
      </c>
      <c r="AL59" s="87">
        <f t="shared" si="74"/>
        <v>0</v>
      </c>
      <c r="AM59" s="87">
        <f t="shared" si="74"/>
        <v>0</v>
      </c>
      <c r="AN59" s="87">
        <f t="shared" si="74"/>
        <v>0</v>
      </c>
      <c r="AO59" s="87">
        <f t="shared" si="74"/>
        <v>0</v>
      </c>
      <c r="AP59" s="1"/>
      <c r="AQ59" s="88">
        <f t="shared" ref="AQ59:AW59" si="75">C59+K59+S59+AI59</f>
        <v>26809</v>
      </c>
      <c r="AR59" s="88">
        <f t="shared" si="75"/>
        <v>27533.29574</v>
      </c>
      <c r="AS59" s="88">
        <f t="shared" si="75"/>
        <v>38521.9295</v>
      </c>
      <c r="AT59" s="88">
        <f t="shared" si="75"/>
        <v>53594.86523</v>
      </c>
      <c r="AU59" s="88">
        <f t="shared" si="75"/>
        <v>73580.87069</v>
      </c>
      <c r="AV59" s="88">
        <f t="shared" si="75"/>
        <v>101171.3323</v>
      </c>
      <c r="AW59" s="88">
        <f t="shared" si="75"/>
        <v>137771.7334</v>
      </c>
      <c r="AX59" s="89">
        <f t="shared" si="11"/>
        <v>102</v>
      </c>
      <c r="AY59" s="90">
        <f t="shared" si="37"/>
        <v>0.005517689062</v>
      </c>
      <c r="AZ59" s="89">
        <f t="shared" si="13"/>
        <v>580.2957396</v>
      </c>
      <c r="BA59" s="90">
        <f t="shared" si="38"/>
        <v>6.973032199</v>
      </c>
      <c r="BB59" s="89">
        <f t="shared" si="14"/>
        <v>42</v>
      </c>
      <c r="BC59" s="90">
        <f t="shared" si="39"/>
        <v>4200</v>
      </c>
      <c r="BD59" s="89">
        <f t="shared" si="15"/>
        <v>-658.6933333</v>
      </c>
      <c r="BE59" s="91">
        <f t="shared" si="34"/>
        <v>-29.87271353</v>
      </c>
      <c r="BF59" s="92">
        <f t="shared" si="18"/>
        <v>65.60240625</v>
      </c>
      <c r="BG59" s="93">
        <f t="shared" si="40"/>
        <v>4177.105836</v>
      </c>
      <c r="BH59" s="1"/>
      <c r="BI59" s="94"/>
      <c r="BJ59" s="94"/>
      <c r="BK59" s="94"/>
      <c r="BL59" s="94"/>
      <c r="BM59" s="94"/>
      <c r="BN59" s="1"/>
      <c r="BO59" s="95"/>
      <c r="BP59" s="95"/>
      <c r="BQ59" s="95"/>
      <c r="BR59" s="95"/>
      <c r="BS59" s="95"/>
      <c r="BT59" s="1"/>
      <c r="BU59" s="94"/>
      <c r="BV59" s="94"/>
      <c r="BW59" s="94"/>
      <c r="BX59" s="94"/>
      <c r="BY59" s="1"/>
      <c r="BZ59" s="94"/>
      <c r="CA59" s="94"/>
      <c r="CB59" s="94"/>
      <c r="CC59" s="94"/>
      <c r="CD59" s="94"/>
    </row>
    <row r="60" ht="19.5" customHeight="1">
      <c r="A60" s="1"/>
      <c r="B60" s="82" t="s">
        <v>74</v>
      </c>
      <c r="C60" s="105">
        <f t="shared" ref="C60:I60" si="76">SUM(C61:C62)</f>
        <v>359</v>
      </c>
      <c r="D60" s="105">
        <f t="shared" si="76"/>
        <v>385</v>
      </c>
      <c r="E60" s="105">
        <f t="shared" si="76"/>
        <v>398.8</v>
      </c>
      <c r="F60" s="105">
        <f t="shared" si="76"/>
        <v>413.29</v>
      </c>
      <c r="G60" s="105">
        <f t="shared" si="76"/>
        <v>428.5045</v>
      </c>
      <c r="H60" s="105">
        <f t="shared" si="76"/>
        <v>444.479725</v>
      </c>
      <c r="I60" s="105">
        <f t="shared" si="76"/>
        <v>461.2537113</v>
      </c>
      <c r="J60" s="1"/>
      <c r="K60" s="84">
        <f t="shared" ref="K60:Q60" si="77">SUM(K61:K62)</f>
        <v>619</v>
      </c>
      <c r="L60" s="84">
        <f t="shared" si="77"/>
        <v>668.7122759</v>
      </c>
      <c r="M60" s="84">
        <f t="shared" si="77"/>
        <v>679.7122759</v>
      </c>
      <c r="N60" s="84">
        <f t="shared" si="77"/>
        <v>691.3172759</v>
      </c>
      <c r="O60" s="84">
        <f t="shared" si="77"/>
        <v>703.5605509</v>
      </c>
      <c r="P60" s="84">
        <f t="shared" si="77"/>
        <v>716.477206</v>
      </c>
      <c r="Q60" s="85">
        <f t="shared" si="77"/>
        <v>730.1042771</v>
      </c>
      <c r="R60" s="1"/>
      <c r="S60" s="84">
        <f t="shared" ref="S60:Y60" si="78">SUM(S61:S62)</f>
        <v>800</v>
      </c>
      <c r="T60" s="84">
        <f t="shared" si="78"/>
        <v>803</v>
      </c>
      <c r="U60" s="84">
        <f t="shared" si="78"/>
        <v>803.48</v>
      </c>
      <c r="V60" s="84">
        <f t="shared" si="78"/>
        <v>803.9888</v>
      </c>
      <c r="W60" s="84">
        <f t="shared" si="78"/>
        <v>804.528128</v>
      </c>
      <c r="X60" s="84">
        <f t="shared" si="78"/>
        <v>805.0998157</v>
      </c>
      <c r="Y60" s="86">
        <f t="shared" si="78"/>
        <v>805.7058046</v>
      </c>
      <c r="Z60" s="1"/>
      <c r="AA60" s="84">
        <f t="shared" ref="AA60:AG60" si="79">SUM(AA61:AA62)</f>
        <v>10</v>
      </c>
      <c r="AB60" s="84">
        <f t="shared" si="79"/>
        <v>15</v>
      </c>
      <c r="AC60" s="84">
        <f t="shared" si="79"/>
        <v>15.6</v>
      </c>
      <c r="AD60" s="84">
        <f t="shared" si="79"/>
        <v>16.224</v>
      </c>
      <c r="AE60" s="84">
        <f t="shared" si="79"/>
        <v>16.87296</v>
      </c>
      <c r="AF60" s="84">
        <f t="shared" si="79"/>
        <v>17.5478784</v>
      </c>
      <c r="AG60" s="86">
        <f t="shared" si="79"/>
        <v>18.24979354</v>
      </c>
      <c r="AH60" s="1"/>
      <c r="AI60" s="87">
        <f t="shared" ref="AI60:AO60" si="80">SUM(AI61:AI62)</f>
        <v>0</v>
      </c>
      <c r="AJ60" s="87">
        <f t="shared" si="80"/>
        <v>0</v>
      </c>
      <c r="AK60" s="87">
        <f t="shared" si="80"/>
        <v>0</v>
      </c>
      <c r="AL60" s="87">
        <f t="shared" si="80"/>
        <v>0</v>
      </c>
      <c r="AM60" s="87">
        <f t="shared" si="80"/>
        <v>0</v>
      </c>
      <c r="AN60" s="87">
        <f t="shared" si="80"/>
        <v>0</v>
      </c>
      <c r="AO60" s="87">
        <f t="shared" si="80"/>
        <v>0</v>
      </c>
      <c r="AP60" s="1"/>
      <c r="AQ60" s="88">
        <f t="shared" ref="AQ60:AW60" si="81">C60+K60+S60+AI60</f>
        <v>1778</v>
      </c>
      <c r="AR60" s="88">
        <f t="shared" si="81"/>
        <v>1856.712276</v>
      </c>
      <c r="AS60" s="88">
        <f t="shared" si="81"/>
        <v>1881.992276</v>
      </c>
      <c r="AT60" s="88">
        <f t="shared" si="81"/>
        <v>1908.596076</v>
      </c>
      <c r="AU60" s="88">
        <f t="shared" si="81"/>
        <v>1936.593179</v>
      </c>
      <c r="AV60" s="88">
        <f t="shared" si="81"/>
        <v>1966.056747</v>
      </c>
      <c r="AW60" s="88">
        <f t="shared" si="81"/>
        <v>1997.063793</v>
      </c>
      <c r="AX60" s="89">
        <f t="shared" si="11"/>
        <v>26</v>
      </c>
      <c r="AY60" s="90">
        <f t="shared" si="37"/>
        <v>0.07242339833</v>
      </c>
      <c r="AZ60" s="89">
        <f t="shared" si="13"/>
        <v>49.71227586</v>
      </c>
      <c r="BA60" s="90">
        <f t="shared" si="38"/>
        <v>8.031062336</v>
      </c>
      <c r="BB60" s="89">
        <f t="shared" si="14"/>
        <v>3</v>
      </c>
      <c r="BC60" s="90">
        <f t="shared" si="39"/>
        <v>0.375</v>
      </c>
      <c r="BD60" s="89">
        <f t="shared" si="15"/>
        <v>5</v>
      </c>
      <c r="BE60" s="91">
        <f t="shared" si="34"/>
        <v>50</v>
      </c>
      <c r="BF60" s="92">
        <f t="shared" si="18"/>
        <v>83.71227586</v>
      </c>
      <c r="BG60" s="93">
        <f t="shared" si="40"/>
        <v>58.47848573</v>
      </c>
      <c r="BH60" s="1"/>
      <c r="BI60" s="94"/>
      <c r="BJ60" s="94"/>
      <c r="BK60" s="94"/>
      <c r="BL60" s="94"/>
      <c r="BM60" s="94"/>
      <c r="BN60" s="1"/>
      <c r="BO60" s="95"/>
      <c r="BP60" s="95"/>
      <c r="BQ60" s="95"/>
      <c r="BR60" s="95"/>
      <c r="BS60" s="95"/>
      <c r="BT60" s="1"/>
      <c r="BU60" s="94"/>
      <c r="BV60" s="94"/>
      <c r="BW60" s="94"/>
      <c r="BX60" s="94"/>
      <c r="BY60" s="1"/>
      <c r="BZ60" s="95"/>
      <c r="CA60" s="95"/>
      <c r="CB60" s="95"/>
      <c r="CC60" s="95"/>
      <c r="CD60" s="95"/>
    </row>
    <row r="61" ht="19.5" customHeight="1">
      <c r="A61" s="1"/>
      <c r="B61" s="96" t="s">
        <v>75</v>
      </c>
      <c r="C61" s="106">
        <v>109.0</v>
      </c>
      <c r="D61" s="106">
        <v>109.0</v>
      </c>
      <c r="E61" s="107">
        <f t="shared" ref="E61:I61" si="82">D61</f>
        <v>109</v>
      </c>
      <c r="F61" s="107">
        <f t="shared" si="82"/>
        <v>109</v>
      </c>
      <c r="G61" s="107">
        <f t="shared" si="82"/>
        <v>109</v>
      </c>
      <c r="H61" s="107">
        <f t="shared" si="82"/>
        <v>109</v>
      </c>
      <c r="I61" s="107">
        <f t="shared" si="82"/>
        <v>109</v>
      </c>
      <c r="J61" s="1"/>
      <c r="K61" s="99">
        <v>469.0</v>
      </c>
      <c r="L61" s="99">
        <v>468.712275862069</v>
      </c>
      <c r="M61" s="98">
        <v>468.712275862069</v>
      </c>
      <c r="N61" s="98">
        <v>468.712275862069</v>
      </c>
      <c r="O61" s="98">
        <v>468.712275862069</v>
      </c>
      <c r="P61" s="98">
        <v>468.712275862069</v>
      </c>
      <c r="Q61" s="98">
        <v>468.712275862069</v>
      </c>
      <c r="R61" s="1"/>
      <c r="S61" s="99">
        <v>795.0</v>
      </c>
      <c r="T61" s="100">
        <v>795.0</v>
      </c>
      <c r="U61" s="98">
        <v>795.0</v>
      </c>
      <c r="V61" s="98">
        <v>795.0</v>
      </c>
      <c r="W61" s="98">
        <v>795.0</v>
      </c>
      <c r="X61" s="98">
        <v>795.0</v>
      </c>
      <c r="Y61" s="98">
        <v>795.0</v>
      </c>
      <c r="Z61" s="1"/>
      <c r="AA61" s="99">
        <v>0.0</v>
      </c>
      <c r="AB61" s="100">
        <v>0.0</v>
      </c>
      <c r="AC61" s="98">
        <v>0.0</v>
      </c>
      <c r="AD61" s="98">
        <v>0.0</v>
      </c>
      <c r="AE61" s="98">
        <v>0.0</v>
      </c>
      <c r="AF61" s="98">
        <v>0.0</v>
      </c>
      <c r="AG61" s="98">
        <v>0.0</v>
      </c>
      <c r="AH61" s="1"/>
      <c r="AI61" s="104">
        <v>0.0</v>
      </c>
      <c r="AJ61" s="104">
        <v>0.0</v>
      </c>
      <c r="AK61" s="104">
        <v>0.0</v>
      </c>
      <c r="AL61" s="104">
        <v>0.0</v>
      </c>
      <c r="AM61" s="104">
        <v>0.0</v>
      </c>
      <c r="AN61" s="104">
        <v>0.0</v>
      </c>
      <c r="AO61" s="104">
        <v>0.0</v>
      </c>
      <c r="AP61" s="1"/>
      <c r="AQ61" s="88">
        <f t="shared" ref="AQ61:AW61" si="83">C61+K61+S61+AI61</f>
        <v>1373</v>
      </c>
      <c r="AR61" s="88">
        <f t="shared" si="83"/>
        <v>1372.712276</v>
      </c>
      <c r="AS61" s="88">
        <f t="shared" si="83"/>
        <v>1372.712276</v>
      </c>
      <c r="AT61" s="88">
        <f t="shared" si="83"/>
        <v>1372.712276</v>
      </c>
      <c r="AU61" s="88">
        <f t="shared" si="83"/>
        <v>1372.712276</v>
      </c>
      <c r="AV61" s="88">
        <f t="shared" si="83"/>
        <v>1372.712276</v>
      </c>
      <c r="AW61" s="88">
        <f t="shared" si="83"/>
        <v>1372.712276</v>
      </c>
      <c r="AX61" s="89">
        <f t="shared" si="11"/>
        <v>0</v>
      </c>
      <c r="AY61" s="90">
        <f t="shared" si="37"/>
        <v>0</v>
      </c>
      <c r="AZ61" s="89">
        <f t="shared" si="13"/>
        <v>-0.2877241379</v>
      </c>
      <c r="BA61" s="90">
        <f t="shared" si="38"/>
        <v>-0.06134843026</v>
      </c>
      <c r="BB61" s="89">
        <f t="shared" si="14"/>
        <v>0</v>
      </c>
      <c r="BC61" s="90">
        <f t="shared" si="39"/>
        <v>0</v>
      </c>
      <c r="BD61" s="89">
        <f t="shared" si="15"/>
        <v>0</v>
      </c>
      <c r="BE61" s="102" t="s">
        <v>20</v>
      </c>
      <c r="BF61" s="92">
        <f t="shared" si="18"/>
        <v>-0.2877241379</v>
      </c>
      <c r="BG61" s="93">
        <f>AY61+BC61</f>
        <v>0</v>
      </c>
      <c r="BH61" s="1"/>
      <c r="BI61" s="58"/>
      <c r="BJ61" s="58"/>
      <c r="BK61" s="58"/>
      <c r="BL61" s="58"/>
      <c r="BM61" s="58"/>
      <c r="BN61" s="1"/>
      <c r="BO61" s="103"/>
      <c r="BP61" s="103"/>
      <c r="BQ61" s="103"/>
      <c r="BR61" s="103"/>
      <c r="BS61" s="103"/>
      <c r="BT61" s="1"/>
      <c r="BU61" s="58"/>
      <c r="BV61" s="58"/>
      <c r="BW61" s="58"/>
      <c r="BX61" s="58"/>
      <c r="BY61" s="1"/>
      <c r="BZ61" s="58"/>
      <c r="CA61" s="58"/>
      <c r="CB61" s="58"/>
      <c r="CC61" s="58"/>
      <c r="CD61" s="58"/>
    </row>
    <row r="62" ht="19.5" customHeight="1">
      <c r="A62" s="1"/>
      <c r="B62" s="96" t="s">
        <v>76</v>
      </c>
      <c r="C62" s="106">
        <v>250.0</v>
      </c>
      <c r="D62" s="106">
        <v>276.0</v>
      </c>
      <c r="E62" s="107">
        <f t="shared" ref="E62:I62" si="84">D62*(1+E12)</f>
        <v>289.8</v>
      </c>
      <c r="F62" s="107">
        <f t="shared" si="84"/>
        <v>304.29</v>
      </c>
      <c r="G62" s="107">
        <f t="shared" si="84"/>
        <v>319.5045</v>
      </c>
      <c r="H62" s="107">
        <f t="shared" si="84"/>
        <v>335.479725</v>
      </c>
      <c r="I62" s="107">
        <f t="shared" si="84"/>
        <v>352.2537113</v>
      </c>
      <c r="J62" s="1"/>
      <c r="K62" s="99">
        <v>150.0</v>
      </c>
      <c r="L62" s="99">
        <v>200.0</v>
      </c>
      <c r="M62" s="98">
        <v>211.0</v>
      </c>
      <c r="N62" s="98">
        <v>222.605</v>
      </c>
      <c r="O62" s="98">
        <v>234.84827499999997</v>
      </c>
      <c r="P62" s="98">
        <v>247.76493012499995</v>
      </c>
      <c r="Q62" s="98">
        <v>261.3920012818749</v>
      </c>
      <c r="R62" s="1"/>
      <c r="S62" s="99">
        <v>5.0</v>
      </c>
      <c r="T62" s="100">
        <v>8.0</v>
      </c>
      <c r="U62" s="98">
        <v>8.48</v>
      </c>
      <c r="V62" s="98">
        <v>8.988800000000001</v>
      </c>
      <c r="W62" s="98">
        <v>9.528128000000002</v>
      </c>
      <c r="X62" s="98">
        <v>10.099815680000003</v>
      </c>
      <c r="Y62" s="98">
        <v>10.705804620800004</v>
      </c>
      <c r="Z62" s="1"/>
      <c r="AA62" s="99">
        <v>10.0</v>
      </c>
      <c r="AB62" s="100">
        <v>15.0</v>
      </c>
      <c r="AC62" s="98">
        <v>15.600000000000001</v>
      </c>
      <c r="AD62" s="98">
        <v>16.224000000000004</v>
      </c>
      <c r="AE62" s="98">
        <v>16.872960000000006</v>
      </c>
      <c r="AF62" s="98">
        <v>17.547878400000005</v>
      </c>
      <c r="AG62" s="98">
        <v>18.249793536000006</v>
      </c>
      <c r="AH62" s="1"/>
      <c r="AI62" s="104">
        <v>0.0</v>
      </c>
      <c r="AJ62" s="104">
        <v>0.0</v>
      </c>
      <c r="AK62" s="104">
        <v>0.0</v>
      </c>
      <c r="AL62" s="104">
        <v>0.0</v>
      </c>
      <c r="AM62" s="104">
        <v>0.0</v>
      </c>
      <c r="AN62" s="104">
        <v>0.0</v>
      </c>
      <c r="AO62" s="104">
        <v>0.0</v>
      </c>
      <c r="AP62" s="1"/>
      <c r="AQ62" s="88">
        <f t="shared" ref="AQ62:AW62" si="85">C62+K62+S62+AI62</f>
        <v>405</v>
      </c>
      <c r="AR62" s="88">
        <f t="shared" si="85"/>
        <v>484</v>
      </c>
      <c r="AS62" s="88">
        <f t="shared" si="85"/>
        <v>509.28</v>
      </c>
      <c r="AT62" s="88">
        <f t="shared" si="85"/>
        <v>535.8838</v>
      </c>
      <c r="AU62" s="88">
        <f t="shared" si="85"/>
        <v>563.880903</v>
      </c>
      <c r="AV62" s="88">
        <f t="shared" si="85"/>
        <v>593.3444708</v>
      </c>
      <c r="AW62" s="88">
        <f t="shared" si="85"/>
        <v>624.3515172</v>
      </c>
      <c r="AX62" s="89">
        <f t="shared" si="11"/>
        <v>26</v>
      </c>
      <c r="AY62" s="90">
        <f t="shared" si="37"/>
        <v>0.104</v>
      </c>
      <c r="AZ62" s="89">
        <f t="shared" si="13"/>
        <v>50</v>
      </c>
      <c r="BA62" s="90">
        <f t="shared" si="38"/>
        <v>33.33333333</v>
      </c>
      <c r="BB62" s="89">
        <f t="shared" si="14"/>
        <v>3</v>
      </c>
      <c r="BC62" s="90">
        <f t="shared" si="39"/>
        <v>60</v>
      </c>
      <c r="BD62" s="89">
        <f t="shared" si="15"/>
        <v>5</v>
      </c>
      <c r="BE62" s="91">
        <f>(AB62-AA62)/AA62*100</f>
        <v>50</v>
      </c>
      <c r="BF62" s="92">
        <f t="shared" si="18"/>
        <v>84</v>
      </c>
      <c r="BG62" s="93">
        <f>AY62+BA62+BC62+BE62</f>
        <v>143.4373333</v>
      </c>
      <c r="BH62" s="1"/>
      <c r="BI62" s="58"/>
      <c r="BJ62" s="58"/>
      <c r="BK62" s="58"/>
      <c r="BL62" s="58"/>
      <c r="BM62" s="58"/>
      <c r="BN62" s="1"/>
      <c r="BO62" s="103"/>
      <c r="BP62" s="103"/>
      <c r="BQ62" s="103"/>
      <c r="BR62" s="103"/>
      <c r="BS62" s="103"/>
      <c r="BT62" s="1"/>
      <c r="BU62" s="58"/>
      <c r="BV62" s="58"/>
      <c r="BW62" s="58"/>
      <c r="BX62" s="58"/>
      <c r="BY62" s="1"/>
      <c r="BZ62" s="58"/>
      <c r="CA62" s="58"/>
      <c r="CB62" s="58"/>
      <c r="CC62" s="58"/>
      <c r="CD62" s="58"/>
    </row>
    <row r="63" ht="19.5" customHeight="1">
      <c r="A63" s="108"/>
      <c r="B63" s="109" t="s">
        <v>77</v>
      </c>
      <c r="C63" s="105">
        <f t="shared" ref="C63:D63" si="86">AA69*30%</f>
        <v>529.2</v>
      </c>
      <c r="D63" s="105">
        <f t="shared" si="86"/>
        <v>371.8336</v>
      </c>
      <c r="E63" s="110">
        <v>0.0</v>
      </c>
      <c r="F63" s="110">
        <v>0.0</v>
      </c>
      <c r="G63" s="110">
        <v>0.0</v>
      </c>
      <c r="H63" s="110">
        <v>0.0</v>
      </c>
      <c r="I63" s="110">
        <v>0.0</v>
      </c>
      <c r="J63" s="94"/>
      <c r="K63" s="111">
        <v>0.0</v>
      </c>
      <c r="L63" s="111">
        <v>0.0</v>
      </c>
      <c r="M63" s="111">
        <v>0.0</v>
      </c>
      <c r="N63" s="111">
        <v>0.0</v>
      </c>
      <c r="O63" s="111">
        <v>0.0</v>
      </c>
      <c r="P63" s="111">
        <v>0.0</v>
      </c>
      <c r="Q63" s="111">
        <v>0.0</v>
      </c>
      <c r="R63" s="1"/>
      <c r="S63" s="111">
        <v>0.0</v>
      </c>
      <c r="T63" s="111">
        <v>0.0</v>
      </c>
      <c r="U63" s="111">
        <v>0.0</v>
      </c>
      <c r="V63" s="111">
        <v>0.0</v>
      </c>
      <c r="W63" s="111">
        <v>0.0</v>
      </c>
      <c r="X63" s="111">
        <v>0.0</v>
      </c>
      <c r="Y63" s="111">
        <v>0.0</v>
      </c>
      <c r="Z63" s="1"/>
      <c r="AA63" s="111">
        <v>0.0</v>
      </c>
      <c r="AB63" s="111">
        <v>0.0</v>
      </c>
      <c r="AC63" s="111">
        <v>0.0</v>
      </c>
      <c r="AD63" s="111">
        <v>0.0</v>
      </c>
      <c r="AE63" s="111">
        <v>0.0</v>
      </c>
      <c r="AF63" s="111">
        <v>0.0</v>
      </c>
      <c r="AG63" s="111">
        <v>0.0</v>
      </c>
      <c r="AH63" s="1"/>
      <c r="AI63" s="104">
        <v>0.0</v>
      </c>
      <c r="AJ63" s="104">
        <v>0.0</v>
      </c>
      <c r="AK63" s="104">
        <v>0.0</v>
      </c>
      <c r="AL63" s="104">
        <v>0.0</v>
      </c>
      <c r="AM63" s="104">
        <v>0.0</v>
      </c>
      <c r="AN63" s="104">
        <v>0.0</v>
      </c>
      <c r="AO63" s="104">
        <v>0.0</v>
      </c>
      <c r="AP63" s="1"/>
      <c r="AQ63" s="88">
        <v>529.1999999999999</v>
      </c>
      <c r="AR63" s="88">
        <v>371.8336000000001</v>
      </c>
      <c r="AS63" s="88">
        <v>520.8392685333336</v>
      </c>
      <c r="AT63" s="88">
        <v>692.7163244028</v>
      </c>
      <c r="AU63" s="88">
        <v>890.4693482564934</v>
      </c>
      <c r="AV63" s="88">
        <v>1117.479280574128</v>
      </c>
      <c r="AW63" s="88">
        <v>1377.5497709495287</v>
      </c>
      <c r="AX63" s="112" t="s">
        <v>20</v>
      </c>
      <c r="AY63" s="101" t="s">
        <v>20</v>
      </c>
      <c r="AZ63" s="112" t="s">
        <v>20</v>
      </c>
      <c r="BA63" s="101" t="s">
        <v>20</v>
      </c>
      <c r="BB63" s="112" t="s">
        <v>20</v>
      </c>
      <c r="BC63" s="101" t="s">
        <v>20</v>
      </c>
      <c r="BD63" s="112" t="s">
        <v>20</v>
      </c>
      <c r="BE63" s="101" t="s">
        <v>20</v>
      </c>
      <c r="BF63" s="93" t="s">
        <v>20</v>
      </c>
      <c r="BG63" s="93" t="s">
        <v>20</v>
      </c>
      <c r="BH63" s="1"/>
      <c r="BI63" s="94"/>
      <c r="BJ63" s="94"/>
      <c r="BK63" s="94"/>
      <c r="BL63" s="94"/>
      <c r="BM63" s="94"/>
      <c r="BN63" s="1"/>
      <c r="BO63" s="95"/>
      <c r="BP63" s="95"/>
      <c r="BQ63" s="95"/>
      <c r="BR63" s="95"/>
      <c r="BS63" s="95"/>
      <c r="BT63" s="1"/>
      <c r="BU63" s="94"/>
      <c r="BV63" s="94"/>
      <c r="BW63" s="94"/>
      <c r="BX63" s="94"/>
      <c r="BY63" s="1"/>
      <c r="BZ63" s="95"/>
      <c r="CA63" s="95"/>
      <c r="CB63" s="95"/>
      <c r="CC63" s="95"/>
      <c r="CD63" s="95"/>
    </row>
    <row r="64" ht="19.5" customHeight="1">
      <c r="A64" s="1"/>
      <c r="B64" s="82" t="s">
        <v>78</v>
      </c>
      <c r="C64" s="105">
        <f t="shared" ref="C64:I64" si="87">SUM(C65:C66)</f>
        <v>101</v>
      </c>
      <c r="D64" s="105">
        <f t="shared" si="87"/>
        <v>100</v>
      </c>
      <c r="E64" s="105">
        <f t="shared" si="87"/>
        <v>102.45</v>
      </c>
      <c r="F64" s="105">
        <f t="shared" si="87"/>
        <v>54.0225</v>
      </c>
      <c r="G64" s="105">
        <f t="shared" si="87"/>
        <v>56.723625</v>
      </c>
      <c r="H64" s="105">
        <f t="shared" si="87"/>
        <v>59.55980625</v>
      </c>
      <c r="I64" s="105">
        <f t="shared" si="87"/>
        <v>62.53779656</v>
      </c>
      <c r="J64" s="83"/>
      <c r="K64" s="84">
        <f t="shared" ref="K64:Q64" si="88">SUM(K65:K66)</f>
        <v>80</v>
      </c>
      <c r="L64" s="84">
        <f t="shared" si="88"/>
        <v>100</v>
      </c>
      <c r="M64" s="84">
        <f t="shared" si="88"/>
        <v>105.5</v>
      </c>
      <c r="N64" s="84">
        <f t="shared" si="88"/>
        <v>111.3025</v>
      </c>
      <c r="O64" s="84">
        <f t="shared" si="88"/>
        <v>117.4241375</v>
      </c>
      <c r="P64" s="84">
        <f t="shared" si="88"/>
        <v>123.8824651</v>
      </c>
      <c r="Q64" s="85">
        <f t="shared" si="88"/>
        <v>130.6960006</v>
      </c>
      <c r="R64" s="1"/>
      <c r="S64" s="84">
        <f t="shared" ref="S64:Y64" si="89">SUM(S65:S66)</f>
        <v>5</v>
      </c>
      <c r="T64" s="84">
        <f t="shared" si="89"/>
        <v>10</v>
      </c>
      <c r="U64" s="84">
        <f t="shared" si="89"/>
        <v>10.6</v>
      </c>
      <c r="V64" s="84">
        <f t="shared" si="89"/>
        <v>11.236</v>
      </c>
      <c r="W64" s="84">
        <f t="shared" si="89"/>
        <v>11.91016</v>
      </c>
      <c r="X64" s="84">
        <f t="shared" si="89"/>
        <v>12.6247696</v>
      </c>
      <c r="Y64" s="86">
        <f t="shared" si="89"/>
        <v>13.38225578</v>
      </c>
      <c r="Z64" s="1"/>
      <c r="AA64" s="84">
        <f t="shared" ref="AA64:AG64" si="90">SUM(AA65:AA66)</f>
        <v>10</v>
      </c>
      <c r="AB64" s="84">
        <f t="shared" si="90"/>
        <v>12</v>
      </c>
      <c r="AC64" s="84">
        <f t="shared" si="90"/>
        <v>12.48</v>
      </c>
      <c r="AD64" s="84">
        <f t="shared" si="90"/>
        <v>12.9792</v>
      </c>
      <c r="AE64" s="84">
        <f t="shared" si="90"/>
        <v>13.498368</v>
      </c>
      <c r="AF64" s="84">
        <f t="shared" si="90"/>
        <v>14.03830272</v>
      </c>
      <c r="AG64" s="86">
        <f t="shared" si="90"/>
        <v>14.59983483</v>
      </c>
      <c r="AH64" s="1"/>
      <c r="AI64" s="87">
        <f t="shared" ref="AI64:AO64" si="91">SUM(AI65:AI66)</f>
        <v>0</v>
      </c>
      <c r="AJ64" s="87">
        <f t="shared" si="91"/>
        <v>0</v>
      </c>
      <c r="AK64" s="87">
        <f t="shared" si="91"/>
        <v>0</v>
      </c>
      <c r="AL64" s="87">
        <f t="shared" si="91"/>
        <v>0</v>
      </c>
      <c r="AM64" s="87">
        <f t="shared" si="91"/>
        <v>0</v>
      </c>
      <c r="AN64" s="87">
        <f t="shared" si="91"/>
        <v>0</v>
      </c>
      <c r="AO64" s="87">
        <f t="shared" si="91"/>
        <v>0</v>
      </c>
      <c r="AP64" s="1"/>
      <c r="AQ64" s="88">
        <f t="shared" ref="AQ64:AW64" si="92">C64+K64+S64+AI64</f>
        <v>186</v>
      </c>
      <c r="AR64" s="88">
        <f t="shared" si="92"/>
        <v>210</v>
      </c>
      <c r="AS64" s="88">
        <f t="shared" si="92"/>
        <v>218.55</v>
      </c>
      <c r="AT64" s="88">
        <f t="shared" si="92"/>
        <v>176.561</v>
      </c>
      <c r="AU64" s="88">
        <f t="shared" si="92"/>
        <v>186.0579225</v>
      </c>
      <c r="AV64" s="88">
        <f t="shared" si="92"/>
        <v>196.0670409</v>
      </c>
      <c r="AW64" s="88">
        <f t="shared" si="92"/>
        <v>206.616053</v>
      </c>
      <c r="AX64" s="89">
        <f t="shared" ref="AX64:AX71" si="96">D64-C64</f>
        <v>-1</v>
      </c>
      <c r="AY64" s="90">
        <f t="shared" ref="AY64:AY71" si="97">(D64-C64)/C64</f>
        <v>-0.009900990099</v>
      </c>
      <c r="AZ64" s="89">
        <f t="shared" ref="AZ64:AZ71" si="98">L64-K64</f>
        <v>20</v>
      </c>
      <c r="BA64" s="90">
        <f>(L64-K64)/K64*100</f>
        <v>25</v>
      </c>
      <c r="BB64" s="89">
        <f t="shared" ref="BB64:BB71" si="99">T64-S64</f>
        <v>5</v>
      </c>
      <c r="BC64" s="90">
        <f>(T64-S64)/S64*100</f>
        <v>100</v>
      </c>
      <c r="BD64" s="89">
        <f t="shared" ref="BD64:BD71" si="100">AB64-AA64</f>
        <v>2</v>
      </c>
      <c r="BE64" s="91">
        <f>(AB64-AA64)/AA64*100</f>
        <v>20</v>
      </c>
      <c r="BF64" s="92">
        <f t="shared" ref="BF64:BG64" si="93">AX64+AZ64+BB64+BD64</f>
        <v>26</v>
      </c>
      <c r="BG64" s="93">
        <f t="shared" si="93"/>
        <v>144.990099</v>
      </c>
      <c r="BH64" s="1"/>
      <c r="BI64" s="94"/>
      <c r="BJ64" s="94"/>
      <c r="BK64" s="94"/>
      <c r="BL64" s="94"/>
      <c r="BM64" s="94"/>
      <c r="BN64" s="1"/>
      <c r="BO64" s="95"/>
      <c r="BP64" s="95"/>
      <c r="BQ64" s="95"/>
      <c r="BR64" s="95"/>
      <c r="BS64" s="95"/>
      <c r="BT64" s="1"/>
      <c r="BU64" s="94"/>
      <c r="BV64" s="94"/>
      <c r="BW64" s="94"/>
      <c r="BX64" s="94"/>
      <c r="BY64" s="1"/>
      <c r="BZ64" s="95"/>
      <c r="CA64" s="95"/>
      <c r="CB64" s="95"/>
      <c r="CC64" s="95"/>
      <c r="CD64" s="95"/>
    </row>
    <row r="65" ht="19.5" customHeight="1">
      <c r="A65" s="1"/>
      <c r="B65" s="96" t="s">
        <v>79</v>
      </c>
      <c r="C65" s="106">
        <v>51.0</v>
      </c>
      <c r="D65" s="106">
        <v>51.0</v>
      </c>
      <c r="E65" s="107">
        <f t="shared" ref="E65:I65" si="94">-E101</f>
        <v>51</v>
      </c>
      <c r="F65" s="107">
        <f t="shared" si="94"/>
        <v>0</v>
      </c>
      <c r="G65" s="107">
        <f t="shared" si="94"/>
        <v>0</v>
      </c>
      <c r="H65" s="107">
        <f t="shared" si="94"/>
        <v>0</v>
      </c>
      <c r="I65" s="107">
        <f t="shared" si="94"/>
        <v>0</v>
      </c>
      <c r="J65" s="1"/>
      <c r="K65" s="99">
        <v>0.0</v>
      </c>
      <c r="L65" s="99">
        <v>0.0</v>
      </c>
      <c r="M65" s="98">
        <v>0.0</v>
      </c>
      <c r="N65" s="98">
        <v>0.0</v>
      </c>
      <c r="O65" s="98">
        <v>0.0</v>
      </c>
      <c r="P65" s="98">
        <v>0.0</v>
      </c>
      <c r="Q65" s="98">
        <v>0.0</v>
      </c>
      <c r="R65" s="1"/>
      <c r="S65" s="99">
        <v>0.0</v>
      </c>
      <c r="T65" s="100">
        <v>0.0</v>
      </c>
      <c r="U65" s="98">
        <v>0.0</v>
      </c>
      <c r="V65" s="98">
        <v>0.0</v>
      </c>
      <c r="W65" s="98">
        <v>0.0</v>
      </c>
      <c r="X65" s="98">
        <v>0.0</v>
      </c>
      <c r="Y65" s="98">
        <v>0.0</v>
      </c>
      <c r="Z65" s="1"/>
      <c r="AA65" s="99">
        <v>0.0</v>
      </c>
      <c r="AB65" s="100">
        <v>0.0</v>
      </c>
      <c r="AC65" s="98">
        <v>0.0</v>
      </c>
      <c r="AD65" s="98">
        <v>0.0</v>
      </c>
      <c r="AE65" s="98">
        <v>0.0</v>
      </c>
      <c r="AF65" s="98">
        <v>0.0</v>
      </c>
      <c r="AG65" s="98">
        <v>0.0</v>
      </c>
      <c r="AH65" s="1"/>
      <c r="AI65" s="104">
        <v>0.0</v>
      </c>
      <c r="AJ65" s="104">
        <v>0.0</v>
      </c>
      <c r="AK65" s="104">
        <v>0.0</v>
      </c>
      <c r="AL65" s="104">
        <v>0.0</v>
      </c>
      <c r="AM65" s="104">
        <v>0.0</v>
      </c>
      <c r="AN65" s="104">
        <v>0.0</v>
      </c>
      <c r="AO65" s="104">
        <v>0.0</v>
      </c>
      <c r="AP65" s="1"/>
      <c r="AQ65" s="88">
        <f t="shared" ref="AQ65:AW65" si="95">C65+K65+S65+AI65</f>
        <v>51</v>
      </c>
      <c r="AR65" s="88">
        <f t="shared" si="95"/>
        <v>51</v>
      </c>
      <c r="AS65" s="88">
        <f t="shared" si="95"/>
        <v>51</v>
      </c>
      <c r="AT65" s="88">
        <f t="shared" si="95"/>
        <v>0</v>
      </c>
      <c r="AU65" s="88">
        <f t="shared" si="95"/>
        <v>0</v>
      </c>
      <c r="AV65" s="88">
        <f t="shared" si="95"/>
        <v>0</v>
      </c>
      <c r="AW65" s="88">
        <f t="shared" si="95"/>
        <v>0</v>
      </c>
      <c r="AX65" s="89">
        <f t="shared" si="96"/>
        <v>0</v>
      </c>
      <c r="AY65" s="90">
        <f t="shared" si="97"/>
        <v>0</v>
      </c>
      <c r="AZ65" s="89">
        <f t="shared" si="98"/>
        <v>0</v>
      </c>
      <c r="BA65" s="101" t="s">
        <v>20</v>
      </c>
      <c r="BB65" s="89">
        <f t="shared" si="99"/>
        <v>0</v>
      </c>
      <c r="BC65" s="101" t="s">
        <v>20</v>
      </c>
      <c r="BD65" s="89">
        <f t="shared" si="100"/>
        <v>0</v>
      </c>
      <c r="BE65" s="102" t="s">
        <v>20</v>
      </c>
      <c r="BF65" s="92">
        <f t="shared" ref="BF65:BF71" si="103">AX65+AZ65+BB65+BD65</f>
        <v>0</v>
      </c>
      <c r="BG65" s="93">
        <f>AY65</f>
        <v>0</v>
      </c>
      <c r="BH65" s="1"/>
      <c r="BI65" s="58"/>
      <c r="BJ65" s="58"/>
      <c r="BK65" s="58"/>
      <c r="BL65" s="58"/>
      <c r="BM65" s="58"/>
      <c r="BN65" s="1"/>
      <c r="BO65" s="103"/>
      <c r="BP65" s="103"/>
      <c r="BQ65" s="103"/>
      <c r="BR65" s="103"/>
      <c r="BS65" s="103"/>
      <c r="BT65" s="1"/>
      <c r="BU65" s="58"/>
      <c r="BV65" s="58"/>
      <c r="BW65" s="58"/>
      <c r="BX65" s="58"/>
      <c r="BY65" s="1"/>
      <c r="BZ65" s="58"/>
      <c r="CA65" s="58"/>
      <c r="CB65" s="58"/>
      <c r="CC65" s="58"/>
      <c r="CD65" s="58"/>
    </row>
    <row r="66" ht="19.5" customHeight="1">
      <c r="A66" s="1"/>
      <c r="B66" s="96" t="s">
        <v>67</v>
      </c>
      <c r="C66" s="106">
        <v>50.0</v>
      </c>
      <c r="D66" s="106">
        <v>49.0</v>
      </c>
      <c r="E66" s="107">
        <f t="shared" ref="E66:I66" si="101">D66*(1+E12)</f>
        <v>51.45</v>
      </c>
      <c r="F66" s="107">
        <f t="shared" si="101"/>
        <v>54.0225</v>
      </c>
      <c r="G66" s="107">
        <f t="shared" si="101"/>
        <v>56.723625</v>
      </c>
      <c r="H66" s="107">
        <f t="shared" si="101"/>
        <v>59.55980625</v>
      </c>
      <c r="I66" s="107">
        <f t="shared" si="101"/>
        <v>62.53779656</v>
      </c>
      <c r="J66" s="1"/>
      <c r="K66" s="99">
        <v>80.0</v>
      </c>
      <c r="L66" s="99">
        <v>100.0</v>
      </c>
      <c r="M66" s="98">
        <v>105.5</v>
      </c>
      <c r="N66" s="98">
        <v>111.3025</v>
      </c>
      <c r="O66" s="98">
        <v>117.42413749999999</v>
      </c>
      <c r="P66" s="98">
        <v>123.88246506249997</v>
      </c>
      <c r="Q66" s="98">
        <v>130.69600064093746</v>
      </c>
      <c r="R66" s="1"/>
      <c r="S66" s="99">
        <v>5.0</v>
      </c>
      <c r="T66" s="100">
        <v>10.0</v>
      </c>
      <c r="U66" s="98">
        <v>10.600000000000001</v>
      </c>
      <c r="V66" s="98">
        <v>11.236000000000002</v>
      </c>
      <c r="W66" s="98">
        <v>11.910160000000003</v>
      </c>
      <c r="X66" s="98">
        <v>12.624769600000004</v>
      </c>
      <c r="Y66" s="98">
        <v>13.382255776000004</v>
      </c>
      <c r="Z66" s="1"/>
      <c r="AA66" s="99">
        <v>10.0</v>
      </c>
      <c r="AB66" s="100">
        <v>12.0</v>
      </c>
      <c r="AC66" s="98">
        <v>12.48</v>
      </c>
      <c r="AD66" s="98">
        <v>12.9792</v>
      </c>
      <c r="AE66" s="98">
        <v>13.498368000000001</v>
      </c>
      <c r="AF66" s="98">
        <v>14.03830272</v>
      </c>
      <c r="AG66" s="98">
        <v>14.5998348288</v>
      </c>
      <c r="AH66" s="1"/>
      <c r="AI66" s="104">
        <v>0.0</v>
      </c>
      <c r="AJ66" s="104">
        <v>0.0</v>
      </c>
      <c r="AK66" s="104">
        <v>0.0</v>
      </c>
      <c r="AL66" s="104">
        <v>0.0</v>
      </c>
      <c r="AM66" s="104">
        <v>0.0</v>
      </c>
      <c r="AN66" s="104">
        <v>0.0</v>
      </c>
      <c r="AO66" s="104">
        <v>0.0</v>
      </c>
      <c r="AP66" s="1"/>
      <c r="AQ66" s="88">
        <f t="shared" ref="AQ66:AW66" si="102">C66+K66+S66+AI66</f>
        <v>135</v>
      </c>
      <c r="AR66" s="88">
        <f t="shared" si="102"/>
        <v>159</v>
      </c>
      <c r="AS66" s="88">
        <f t="shared" si="102"/>
        <v>167.55</v>
      </c>
      <c r="AT66" s="88">
        <f t="shared" si="102"/>
        <v>176.561</v>
      </c>
      <c r="AU66" s="88">
        <f t="shared" si="102"/>
        <v>186.0579225</v>
      </c>
      <c r="AV66" s="88">
        <f t="shared" si="102"/>
        <v>196.0670409</v>
      </c>
      <c r="AW66" s="88">
        <f t="shared" si="102"/>
        <v>206.616053</v>
      </c>
      <c r="AX66" s="89">
        <f t="shared" si="96"/>
        <v>-1</v>
      </c>
      <c r="AY66" s="90">
        <f t="shared" si="97"/>
        <v>-0.02</v>
      </c>
      <c r="AZ66" s="89">
        <f t="shared" si="98"/>
        <v>20</v>
      </c>
      <c r="BA66" s="90">
        <f t="shared" ref="BA66:BA71" si="110">(L66-K66)/K66*100</f>
        <v>25</v>
      </c>
      <c r="BB66" s="89">
        <f t="shared" si="99"/>
        <v>5</v>
      </c>
      <c r="BC66" s="90">
        <f t="shared" ref="BC66:BC71" si="111">(T66-S66)/S66*100</f>
        <v>100</v>
      </c>
      <c r="BD66" s="89">
        <f t="shared" si="100"/>
        <v>2</v>
      </c>
      <c r="BE66" s="91">
        <f t="shared" ref="BE66:BE71" si="112">(AB66-AA66)/AA66*100</f>
        <v>20</v>
      </c>
      <c r="BF66" s="92">
        <f t="shared" si="103"/>
        <v>26</v>
      </c>
      <c r="BG66" s="93">
        <f t="shared" ref="BG66:BG71" si="113">AY66+BA66+BC66+BE66</f>
        <v>144.98</v>
      </c>
      <c r="BH66" s="1"/>
      <c r="BI66" s="58"/>
      <c r="BJ66" s="58"/>
      <c r="BK66" s="58"/>
      <c r="BL66" s="58"/>
      <c r="BM66" s="58"/>
      <c r="BN66" s="1"/>
      <c r="BO66" s="103"/>
      <c r="BP66" s="103"/>
      <c r="BQ66" s="103"/>
      <c r="BR66" s="103"/>
      <c r="BS66" s="103"/>
      <c r="BT66" s="1"/>
      <c r="BU66" s="58"/>
      <c r="BV66" s="58"/>
      <c r="BW66" s="58"/>
      <c r="BX66" s="58"/>
      <c r="BY66" s="1"/>
      <c r="BZ66" s="58"/>
      <c r="CA66" s="58"/>
      <c r="CB66" s="58"/>
      <c r="CC66" s="58"/>
      <c r="CD66" s="58"/>
    </row>
    <row r="67" ht="19.5" customHeight="1">
      <c r="A67" s="1"/>
      <c r="B67" s="82" t="s">
        <v>80</v>
      </c>
      <c r="C67" s="83">
        <f t="shared" ref="C67:I67" si="104">C59+C60-C64</f>
        <v>18744</v>
      </c>
      <c r="D67" s="83">
        <f t="shared" si="104"/>
        <v>18873</v>
      </c>
      <c r="E67" s="83">
        <f t="shared" si="104"/>
        <v>22950.99287</v>
      </c>
      <c r="F67" s="83">
        <f t="shared" si="104"/>
        <v>28332.36299</v>
      </c>
      <c r="G67" s="83">
        <f t="shared" si="104"/>
        <v>34847.01297</v>
      </c>
      <c r="H67" s="83">
        <f t="shared" si="104"/>
        <v>42753.19947</v>
      </c>
      <c r="I67" s="83">
        <f t="shared" si="104"/>
        <v>52292.09143</v>
      </c>
      <c r="J67" s="1"/>
      <c r="K67" s="84">
        <f t="shared" ref="K67:Q67" si="105">K59+K60-K64</f>
        <v>8861</v>
      </c>
      <c r="L67" s="84">
        <f t="shared" si="105"/>
        <v>9471.008015</v>
      </c>
      <c r="M67" s="84">
        <f t="shared" si="105"/>
        <v>13556.18391</v>
      </c>
      <c r="N67" s="84">
        <f t="shared" si="105"/>
        <v>18585.87556</v>
      </c>
      <c r="O67" s="84">
        <f t="shared" si="105"/>
        <v>24752.85178</v>
      </c>
      <c r="P67" s="84">
        <f t="shared" si="105"/>
        <v>32287.63138</v>
      </c>
      <c r="Q67" s="85">
        <f t="shared" si="105"/>
        <v>41465.74251</v>
      </c>
      <c r="R67" s="1"/>
      <c r="S67" s="84">
        <f t="shared" ref="S67:Y67" si="106">S59+S60-S64</f>
        <v>796</v>
      </c>
      <c r="T67" s="84">
        <f t="shared" si="106"/>
        <v>836</v>
      </c>
      <c r="U67" s="84">
        <f t="shared" si="106"/>
        <v>3678.195</v>
      </c>
      <c r="V67" s="84">
        <f t="shared" si="106"/>
        <v>8408.66175</v>
      </c>
      <c r="W67" s="84">
        <f t="shared" si="106"/>
        <v>15731.5412</v>
      </c>
      <c r="X67" s="84">
        <f t="shared" si="106"/>
        <v>27900.49112</v>
      </c>
      <c r="Y67" s="86">
        <f t="shared" si="106"/>
        <v>45804.34722</v>
      </c>
      <c r="Z67" s="1"/>
      <c r="AA67" s="84">
        <f t="shared" ref="AA67:AG67" si="107">AA59+AA60-AA64</f>
        <v>2205</v>
      </c>
      <c r="AB67" s="84">
        <f t="shared" si="107"/>
        <v>1549.306667</v>
      </c>
      <c r="AC67" s="84">
        <f t="shared" si="107"/>
        <v>2170.163619</v>
      </c>
      <c r="AD67" s="84">
        <f t="shared" si="107"/>
        <v>2886.318018</v>
      </c>
      <c r="AE67" s="84">
        <f t="shared" si="107"/>
        <v>3710.288951</v>
      </c>
      <c r="AF67" s="84">
        <f t="shared" si="107"/>
        <v>4656.163669</v>
      </c>
      <c r="AG67" s="86">
        <f t="shared" si="107"/>
        <v>5739.790712</v>
      </c>
      <c r="AH67" s="1"/>
      <c r="AI67" s="87">
        <f t="shared" ref="AI67:AO67" si="108">AI59+AI60-AI64</f>
        <v>0</v>
      </c>
      <c r="AJ67" s="87">
        <f t="shared" si="108"/>
        <v>0</v>
      </c>
      <c r="AK67" s="87">
        <f t="shared" si="108"/>
        <v>0</v>
      </c>
      <c r="AL67" s="87">
        <f t="shared" si="108"/>
        <v>0</v>
      </c>
      <c r="AM67" s="87">
        <f t="shared" si="108"/>
        <v>0</v>
      </c>
      <c r="AN67" s="87">
        <f t="shared" si="108"/>
        <v>0</v>
      </c>
      <c r="AO67" s="87">
        <f t="shared" si="108"/>
        <v>0</v>
      </c>
      <c r="AP67" s="1"/>
      <c r="AQ67" s="88">
        <f t="shared" ref="AQ67:AW67" si="109">C67+K67+S67+AI67</f>
        <v>28401</v>
      </c>
      <c r="AR67" s="88">
        <f t="shared" si="109"/>
        <v>29180.00802</v>
      </c>
      <c r="AS67" s="88">
        <f t="shared" si="109"/>
        <v>40185.37178</v>
      </c>
      <c r="AT67" s="88">
        <f t="shared" si="109"/>
        <v>55326.9003</v>
      </c>
      <c r="AU67" s="88">
        <f t="shared" si="109"/>
        <v>75331.40594</v>
      </c>
      <c r="AV67" s="88">
        <f t="shared" si="109"/>
        <v>102941.322</v>
      </c>
      <c r="AW67" s="88">
        <f t="shared" si="109"/>
        <v>139562.1812</v>
      </c>
      <c r="AX67" s="89">
        <f t="shared" si="96"/>
        <v>129</v>
      </c>
      <c r="AY67" s="90">
        <f t="shared" si="97"/>
        <v>0.006882202305</v>
      </c>
      <c r="AZ67" s="89">
        <f t="shared" si="98"/>
        <v>610.0080154</v>
      </c>
      <c r="BA67" s="90">
        <f t="shared" si="110"/>
        <v>6.884189318</v>
      </c>
      <c r="BB67" s="89">
        <f t="shared" si="99"/>
        <v>40</v>
      </c>
      <c r="BC67" s="90">
        <f t="shared" si="111"/>
        <v>5.025125628</v>
      </c>
      <c r="BD67" s="89">
        <f t="shared" si="100"/>
        <v>-655.6933333</v>
      </c>
      <c r="BE67" s="91">
        <f t="shared" si="112"/>
        <v>-29.73665911</v>
      </c>
      <c r="BF67" s="92">
        <f t="shared" si="103"/>
        <v>123.3146821</v>
      </c>
      <c r="BG67" s="93">
        <f t="shared" si="113"/>
        <v>-17.82046196</v>
      </c>
      <c r="BH67" s="1"/>
      <c r="BI67" s="94"/>
      <c r="BJ67" s="94"/>
      <c r="BK67" s="94"/>
      <c r="BL67" s="94"/>
      <c r="BM67" s="94"/>
      <c r="BN67" s="1"/>
      <c r="BO67" s="95"/>
      <c r="BP67" s="95"/>
      <c r="BQ67" s="95"/>
      <c r="BR67" s="95"/>
      <c r="BS67" s="95"/>
      <c r="BT67" s="1"/>
      <c r="BU67" s="94"/>
      <c r="BV67" s="94"/>
      <c r="BW67" s="94"/>
      <c r="BX67" s="94"/>
      <c r="BY67" s="1"/>
      <c r="BZ67" s="94"/>
      <c r="CA67" s="94"/>
      <c r="CB67" s="94"/>
      <c r="CC67" s="94"/>
      <c r="CD67" s="94"/>
    </row>
    <row r="68" ht="19.5" customHeight="1">
      <c r="A68" s="1"/>
      <c r="B68" s="82" t="s">
        <v>81</v>
      </c>
      <c r="C68" s="83">
        <f t="shared" ref="C68:I68" si="114">C67*20%</f>
        <v>3748.8</v>
      </c>
      <c r="D68" s="83">
        <f t="shared" si="114"/>
        <v>3774.6</v>
      </c>
      <c r="E68" s="83">
        <f t="shared" si="114"/>
        <v>4590.198573</v>
      </c>
      <c r="F68" s="83">
        <f t="shared" si="114"/>
        <v>5666.472597</v>
      </c>
      <c r="G68" s="83">
        <f t="shared" si="114"/>
        <v>6969.402594</v>
      </c>
      <c r="H68" s="83">
        <f t="shared" si="114"/>
        <v>8550.639893</v>
      </c>
      <c r="I68" s="83">
        <f t="shared" si="114"/>
        <v>10458.41829</v>
      </c>
      <c r="J68" s="1"/>
      <c r="K68" s="84">
        <f t="shared" ref="K68:Q68" si="115">K67*20%</f>
        <v>1772.2</v>
      </c>
      <c r="L68" s="84">
        <f t="shared" si="115"/>
        <v>1894.201603</v>
      </c>
      <c r="M68" s="85">
        <f t="shared" si="115"/>
        <v>2711.236783</v>
      </c>
      <c r="N68" s="85">
        <f t="shared" si="115"/>
        <v>3717.175113</v>
      </c>
      <c r="O68" s="85">
        <f t="shared" si="115"/>
        <v>4950.570356</v>
      </c>
      <c r="P68" s="85">
        <f t="shared" si="115"/>
        <v>6457.526277</v>
      </c>
      <c r="Q68" s="85">
        <f t="shared" si="115"/>
        <v>8293.148503</v>
      </c>
      <c r="R68" s="1"/>
      <c r="S68" s="86">
        <f t="shared" ref="S68:Y68" si="116">S67*20%</f>
        <v>159.2</v>
      </c>
      <c r="T68" s="86">
        <f t="shared" si="116"/>
        <v>167.2</v>
      </c>
      <c r="U68" s="85">
        <f t="shared" si="116"/>
        <v>735.639</v>
      </c>
      <c r="V68" s="85">
        <f t="shared" si="116"/>
        <v>1681.73235</v>
      </c>
      <c r="W68" s="85">
        <f t="shared" si="116"/>
        <v>3146.308239</v>
      </c>
      <c r="X68" s="85">
        <f t="shared" si="116"/>
        <v>5580.098223</v>
      </c>
      <c r="Y68" s="85">
        <f t="shared" si="116"/>
        <v>9160.869444</v>
      </c>
      <c r="Z68" s="1"/>
      <c r="AA68" s="86">
        <f t="shared" ref="AA68:AG68" si="117">AA67*20%</f>
        <v>441</v>
      </c>
      <c r="AB68" s="86">
        <f t="shared" si="117"/>
        <v>309.8613333</v>
      </c>
      <c r="AC68" s="85">
        <f t="shared" si="117"/>
        <v>434.0327238</v>
      </c>
      <c r="AD68" s="85">
        <f t="shared" si="117"/>
        <v>577.2636037</v>
      </c>
      <c r="AE68" s="85">
        <f t="shared" si="117"/>
        <v>742.0577902</v>
      </c>
      <c r="AF68" s="85">
        <f t="shared" si="117"/>
        <v>931.2327338</v>
      </c>
      <c r="AG68" s="85">
        <f t="shared" si="117"/>
        <v>1147.958142</v>
      </c>
      <c r="AH68" s="1"/>
      <c r="AI68" s="87">
        <f t="shared" ref="AI68:AO68" si="118">AI67*20%</f>
        <v>0</v>
      </c>
      <c r="AJ68" s="87">
        <f t="shared" si="118"/>
        <v>0</v>
      </c>
      <c r="AK68" s="87">
        <f t="shared" si="118"/>
        <v>0</v>
      </c>
      <c r="AL68" s="87">
        <f t="shared" si="118"/>
        <v>0</v>
      </c>
      <c r="AM68" s="87">
        <f t="shared" si="118"/>
        <v>0</v>
      </c>
      <c r="AN68" s="87">
        <f t="shared" si="118"/>
        <v>0</v>
      </c>
      <c r="AO68" s="87">
        <f t="shared" si="118"/>
        <v>0</v>
      </c>
      <c r="AP68" s="1"/>
      <c r="AQ68" s="88">
        <f t="shared" ref="AQ68:AW68" si="119">C68+K68+S68+AI68</f>
        <v>5680.2</v>
      </c>
      <c r="AR68" s="88">
        <f t="shared" si="119"/>
        <v>5836.001603</v>
      </c>
      <c r="AS68" s="88">
        <f t="shared" si="119"/>
        <v>8037.074356</v>
      </c>
      <c r="AT68" s="88">
        <f t="shared" si="119"/>
        <v>11065.38006</v>
      </c>
      <c r="AU68" s="88">
        <f t="shared" si="119"/>
        <v>15066.28119</v>
      </c>
      <c r="AV68" s="88">
        <f t="shared" si="119"/>
        <v>20588.26439</v>
      </c>
      <c r="AW68" s="88">
        <f t="shared" si="119"/>
        <v>27912.43623</v>
      </c>
      <c r="AX68" s="89">
        <f t="shared" si="96"/>
        <v>25.8</v>
      </c>
      <c r="AY68" s="90">
        <f t="shared" si="97"/>
        <v>0.006882202305</v>
      </c>
      <c r="AZ68" s="89">
        <f t="shared" si="98"/>
        <v>122.0016031</v>
      </c>
      <c r="BA68" s="90">
        <f t="shared" si="110"/>
        <v>6.884189318</v>
      </c>
      <c r="BB68" s="89">
        <f t="shared" si="99"/>
        <v>8</v>
      </c>
      <c r="BC68" s="90">
        <f t="shared" si="111"/>
        <v>5.025125628</v>
      </c>
      <c r="BD68" s="89">
        <f t="shared" si="100"/>
        <v>-131.1386667</v>
      </c>
      <c r="BE68" s="91">
        <f t="shared" si="112"/>
        <v>-29.73665911</v>
      </c>
      <c r="BF68" s="92">
        <f t="shared" si="103"/>
        <v>24.66293642</v>
      </c>
      <c r="BG68" s="93">
        <f t="shared" si="113"/>
        <v>-17.82046196</v>
      </c>
      <c r="BH68" s="1"/>
      <c r="BI68" s="94"/>
      <c r="BJ68" s="94"/>
      <c r="BK68" s="94"/>
      <c r="BL68" s="94"/>
      <c r="BM68" s="94"/>
      <c r="BN68" s="1"/>
      <c r="BO68" s="95"/>
      <c r="BP68" s="95"/>
      <c r="BQ68" s="95"/>
      <c r="BR68" s="95"/>
      <c r="BS68" s="95"/>
      <c r="BT68" s="1"/>
      <c r="BU68" s="94"/>
      <c r="BV68" s="94"/>
      <c r="BW68" s="94"/>
      <c r="BX68" s="94"/>
      <c r="BY68" s="1"/>
      <c r="BZ68" s="95"/>
      <c r="CA68" s="95"/>
      <c r="CB68" s="95"/>
      <c r="CC68" s="95"/>
      <c r="CD68" s="95"/>
    </row>
    <row r="69" ht="19.5" customHeight="1">
      <c r="A69" s="113"/>
      <c r="B69" s="82" t="s">
        <v>11</v>
      </c>
      <c r="C69" s="83">
        <f t="shared" ref="C69:I69" si="120">C67-C68</f>
        <v>14995.2</v>
      </c>
      <c r="D69" s="83">
        <f t="shared" si="120"/>
        <v>15098.4</v>
      </c>
      <c r="E69" s="83">
        <f t="shared" si="120"/>
        <v>18360.79429</v>
      </c>
      <c r="F69" s="83">
        <f t="shared" si="120"/>
        <v>22665.89039</v>
      </c>
      <c r="G69" s="83">
        <f t="shared" si="120"/>
        <v>27877.61037</v>
      </c>
      <c r="H69" s="83">
        <f t="shared" si="120"/>
        <v>34202.55957</v>
      </c>
      <c r="I69" s="83">
        <f t="shared" si="120"/>
        <v>41833.67314</v>
      </c>
      <c r="J69" s="1"/>
      <c r="K69" s="84">
        <f t="shared" ref="K69:Q69" si="121">K67-K68</f>
        <v>7088.8</v>
      </c>
      <c r="L69" s="84">
        <f t="shared" si="121"/>
        <v>7576.806412</v>
      </c>
      <c r="M69" s="84">
        <f t="shared" si="121"/>
        <v>10844.94713</v>
      </c>
      <c r="N69" s="84">
        <f t="shared" si="121"/>
        <v>14868.70045</v>
      </c>
      <c r="O69" s="84">
        <f t="shared" si="121"/>
        <v>19802.28143</v>
      </c>
      <c r="P69" s="84">
        <f t="shared" si="121"/>
        <v>25830.10511</v>
      </c>
      <c r="Q69" s="85">
        <f t="shared" si="121"/>
        <v>33172.59401</v>
      </c>
      <c r="R69" s="1"/>
      <c r="S69" s="84">
        <f t="shared" ref="S69:Y69" si="122">S67-S68</f>
        <v>636.8</v>
      </c>
      <c r="T69" s="84">
        <f t="shared" si="122"/>
        <v>668.8</v>
      </c>
      <c r="U69" s="84">
        <f t="shared" si="122"/>
        <v>2942.556</v>
      </c>
      <c r="V69" s="84">
        <f t="shared" si="122"/>
        <v>6726.9294</v>
      </c>
      <c r="W69" s="84">
        <f t="shared" si="122"/>
        <v>12585.23296</v>
      </c>
      <c r="X69" s="84">
        <f t="shared" si="122"/>
        <v>22320.39289</v>
      </c>
      <c r="Y69" s="86">
        <f t="shared" si="122"/>
        <v>36643.47778</v>
      </c>
      <c r="Z69" s="1"/>
      <c r="AA69" s="84">
        <f t="shared" ref="AA69:AG69" si="123">AA67-AA68</f>
        <v>1764</v>
      </c>
      <c r="AB69" s="84">
        <f t="shared" si="123"/>
        <v>1239.445333</v>
      </c>
      <c r="AC69" s="84">
        <f t="shared" si="123"/>
        <v>1736.130895</v>
      </c>
      <c r="AD69" s="84">
        <f t="shared" si="123"/>
        <v>2309.054415</v>
      </c>
      <c r="AE69" s="84">
        <f t="shared" si="123"/>
        <v>2968.231161</v>
      </c>
      <c r="AF69" s="84">
        <f t="shared" si="123"/>
        <v>3724.930935</v>
      </c>
      <c r="AG69" s="86">
        <f t="shared" si="123"/>
        <v>4591.83257</v>
      </c>
      <c r="AH69" s="1"/>
      <c r="AI69" s="87">
        <f t="shared" ref="AI69:AO69" si="124">AI67-AI68</f>
        <v>0</v>
      </c>
      <c r="AJ69" s="87">
        <f t="shared" si="124"/>
        <v>0</v>
      </c>
      <c r="AK69" s="87">
        <f t="shared" si="124"/>
        <v>0</v>
      </c>
      <c r="AL69" s="87">
        <f t="shared" si="124"/>
        <v>0</v>
      </c>
      <c r="AM69" s="87">
        <f t="shared" si="124"/>
        <v>0</v>
      </c>
      <c r="AN69" s="87">
        <f t="shared" si="124"/>
        <v>0</v>
      </c>
      <c r="AO69" s="87">
        <f t="shared" si="124"/>
        <v>0</v>
      </c>
      <c r="AP69" s="1"/>
      <c r="AQ69" s="114">
        <f t="shared" ref="AQ69:AW69" si="125">C69+K69+S69+AI69</f>
        <v>22720.8</v>
      </c>
      <c r="AR69" s="114">
        <f t="shared" si="125"/>
        <v>23344.00641</v>
      </c>
      <c r="AS69" s="114">
        <f t="shared" si="125"/>
        <v>32148.29742</v>
      </c>
      <c r="AT69" s="114">
        <f t="shared" si="125"/>
        <v>44261.52024</v>
      </c>
      <c r="AU69" s="114">
        <f t="shared" si="125"/>
        <v>60265.12476</v>
      </c>
      <c r="AV69" s="114">
        <f t="shared" si="125"/>
        <v>82353.05757</v>
      </c>
      <c r="AW69" s="114">
        <f t="shared" si="125"/>
        <v>111649.7449</v>
      </c>
      <c r="AX69" s="89">
        <f t="shared" si="96"/>
        <v>103.2</v>
      </c>
      <c r="AY69" s="90">
        <f t="shared" si="97"/>
        <v>0.006882202305</v>
      </c>
      <c r="AZ69" s="89">
        <f t="shared" si="98"/>
        <v>488.0064124</v>
      </c>
      <c r="BA69" s="90">
        <f t="shared" si="110"/>
        <v>6.884189318</v>
      </c>
      <c r="BB69" s="89">
        <f t="shared" si="99"/>
        <v>32</v>
      </c>
      <c r="BC69" s="90">
        <f t="shared" si="111"/>
        <v>5.025125628</v>
      </c>
      <c r="BD69" s="89">
        <f t="shared" si="100"/>
        <v>-524.5546667</v>
      </c>
      <c r="BE69" s="91">
        <f t="shared" si="112"/>
        <v>-29.73665911</v>
      </c>
      <c r="BF69" s="92">
        <f t="shared" si="103"/>
        <v>98.65174569</v>
      </c>
      <c r="BG69" s="93">
        <f t="shared" si="113"/>
        <v>-17.82046196</v>
      </c>
      <c r="BH69" s="1"/>
      <c r="BI69" s="94"/>
      <c r="BJ69" s="94"/>
      <c r="BK69" s="94"/>
      <c r="BL69" s="94"/>
      <c r="BM69" s="94"/>
      <c r="BN69" s="1"/>
      <c r="BO69" s="95"/>
      <c r="BP69" s="95"/>
      <c r="BQ69" s="95"/>
      <c r="BR69" s="95"/>
      <c r="BS69" s="95"/>
      <c r="BT69" s="1"/>
      <c r="BU69" s="95"/>
      <c r="BV69" s="95"/>
      <c r="BW69" s="95"/>
      <c r="BX69" s="95"/>
      <c r="BY69" s="1"/>
      <c r="BZ69" s="95"/>
      <c r="CA69" s="95"/>
      <c r="CB69" s="95"/>
      <c r="CC69" s="95"/>
      <c r="CD69" s="95"/>
    </row>
    <row r="70" ht="19.5" customHeight="1">
      <c r="A70" s="1"/>
      <c r="B70" s="115" t="s">
        <v>82</v>
      </c>
      <c r="C70" s="116">
        <v>1132.0</v>
      </c>
      <c r="D70" s="116">
        <v>1132.0</v>
      </c>
      <c r="E70" s="117">
        <f t="shared" ref="E70:I70" si="126">D70*(1+E12)</f>
        <v>1188.6</v>
      </c>
      <c r="F70" s="117">
        <f t="shared" si="126"/>
        <v>1248.03</v>
      </c>
      <c r="G70" s="117">
        <f t="shared" si="126"/>
        <v>1310.4315</v>
      </c>
      <c r="H70" s="117">
        <f t="shared" si="126"/>
        <v>1375.953075</v>
      </c>
      <c r="I70" s="117">
        <f t="shared" si="126"/>
        <v>1444.750729</v>
      </c>
      <c r="J70" s="1"/>
      <c r="K70" s="118">
        <v>2494.0</v>
      </c>
      <c r="L70" s="118">
        <v>2493.848737691954</v>
      </c>
      <c r="M70" s="117">
        <v>2631.010418265011</v>
      </c>
      <c r="N70" s="117">
        <v>2775.7159912695865</v>
      </c>
      <c r="O70" s="117">
        <v>2928.3803707894135</v>
      </c>
      <c r="P70" s="117">
        <v>3089.4412911828313</v>
      </c>
      <c r="Q70" s="117">
        <v>3259.360562197887</v>
      </c>
      <c r="R70" s="1"/>
      <c r="S70" s="118">
        <v>628.0</v>
      </c>
      <c r="T70" s="119">
        <v>628.0</v>
      </c>
      <c r="U70" s="117">
        <v>665.6800000000001</v>
      </c>
      <c r="V70" s="117">
        <v>705.6208000000001</v>
      </c>
      <c r="W70" s="117">
        <v>747.9580480000002</v>
      </c>
      <c r="X70" s="117">
        <v>792.8355308800002</v>
      </c>
      <c r="Y70" s="117">
        <v>840.4056627328002</v>
      </c>
      <c r="Z70" s="1"/>
      <c r="AA70" s="118">
        <v>142.0</v>
      </c>
      <c r="AB70" s="119">
        <v>141.62944444444443</v>
      </c>
      <c r="AC70" s="117">
        <v>147.29462222222222</v>
      </c>
      <c r="AD70" s="117">
        <v>153.18640711111112</v>
      </c>
      <c r="AE70" s="117">
        <v>159.3138633955556</v>
      </c>
      <c r="AF70" s="117">
        <v>165.6864179313778</v>
      </c>
      <c r="AG70" s="117">
        <v>172.31387464863292</v>
      </c>
      <c r="AH70" s="1"/>
      <c r="AI70" s="104">
        <v>0.0</v>
      </c>
      <c r="AJ70" s="104">
        <v>0.0</v>
      </c>
      <c r="AK70" s="104">
        <v>0.0</v>
      </c>
      <c r="AL70" s="104">
        <v>0.0</v>
      </c>
      <c r="AM70" s="104">
        <v>0.0</v>
      </c>
      <c r="AN70" s="104">
        <v>0.0</v>
      </c>
      <c r="AO70" s="104">
        <v>0.0</v>
      </c>
      <c r="AP70" s="1"/>
      <c r="AQ70" s="88">
        <f t="shared" ref="AQ70:AW70" si="127">C70+K70+S70+AI70</f>
        <v>4254</v>
      </c>
      <c r="AR70" s="88">
        <f t="shared" si="127"/>
        <v>4253.848738</v>
      </c>
      <c r="AS70" s="88">
        <f t="shared" si="127"/>
        <v>4485.290418</v>
      </c>
      <c r="AT70" s="88">
        <f t="shared" si="127"/>
        <v>4729.366791</v>
      </c>
      <c r="AU70" s="88">
        <f t="shared" si="127"/>
        <v>4986.769919</v>
      </c>
      <c r="AV70" s="88">
        <f t="shared" si="127"/>
        <v>5258.229897</v>
      </c>
      <c r="AW70" s="88">
        <f t="shared" si="127"/>
        <v>5544.516954</v>
      </c>
      <c r="AX70" s="89">
        <f t="shared" si="96"/>
        <v>0</v>
      </c>
      <c r="AY70" s="90">
        <f t="shared" si="97"/>
        <v>0</v>
      </c>
      <c r="AZ70" s="89">
        <f t="shared" si="98"/>
        <v>-0.151262308</v>
      </c>
      <c r="BA70" s="90">
        <f t="shared" si="110"/>
        <v>-0.006065048438</v>
      </c>
      <c r="BB70" s="89">
        <f t="shared" si="99"/>
        <v>0</v>
      </c>
      <c r="BC70" s="90">
        <f t="shared" si="111"/>
        <v>0</v>
      </c>
      <c r="BD70" s="89">
        <f t="shared" si="100"/>
        <v>-0.3705555556</v>
      </c>
      <c r="BE70" s="91">
        <f t="shared" si="112"/>
        <v>-0.2609546166</v>
      </c>
      <c r="BF70" s="92">
        <f t="shared" si="103"/>
        <v>-0.5218178636</v>
      </c>
      <c r="BG70" s="93">
        <f t="shared" si="113"/>
        <v>-0.267019665</v>
      </c>
      <c r="BH70" s="1"/>
      <c r="BI70" s="119"/>
      <c r="BJ70" s="119"/>
      <c r="BK70" s="119"/>
      <c r="BL70" s="119"/>
      <c r="BM70" s="119"/>
      <c r="BN70" s="1"/>
      <c r="BO70" s="120"/>
      <c r="BP70" s="120"/>
      <c r="BQ70" s="120"/>
      <c r="BR70" s="120"/>
      <c r="BS70" s="120"/>
      <c r="BT70" s="1"/>
      <c r="BU70" s="119"/>
      <c r="BV70" s="119"/>
      <c r="BW70" s="119"/>
      <c r="BX70" s="119"/>
      <c r="BY70" s="1"/>
      <c r="BZ70" s="119"/>
      <c r="CA70" s="119"/>
      <c r="CB70" s="119"/>
      <c r="CC70" s="119"/>
      <c r="CD70" s="119"/>
    </row>
    <row r="71" ht="19.5" customHeight="1">
      <c r="A71" s="1"/>
      <c r="B71" s="121" t="s">
        <v>83</v>
      </c>
      <c r="C71" s="122">
        <f t="shared" ref="C71:I71" si="128">C69+C68+C65-C61+C70</f>
        <v>19818</v>
      </c>
      <c r="D71" s="122">
        <f t="shared" si="128"/>
        <v>19947</v>
      </c>
      <c r="E71" s="122">
        <f t="shared" si="128"/>
        <v>24081.59287</v>
      </c>
      <c r="F71" s="122">
        <f t="shared" si="128"/>
        <v>29471.39299</v>
      </c>
      <c r="G71" s="122">
        <f t="shared" si="128"/>
        <v>36048.44447</v>
      </c>
      <c r="H71" s="122">
        <f t="shared" si="128"/>
        <v>44020.15254</v>
      </c>
      <c r="I71" s="122">
        <f t="shared" si="128"/>
        <v>53627.84215</v>
      </c>
      <c r="J71" s="1"/>
      <c r="K71" s="123">
        <f t="shared" ref="K71:Q71" si="129">K69+K68+K65-K61+K70</f>
        <v>10886</v>
      </c>
      <c r="L71" s="123">
        <f t="shared" si="129"/>
        <v>11496.14448</v>
      </c>
      <c r="M71" s="123">
        <f t="shared" si="129"/>
        <v>15718.48206</v>
      </c>
      <c r="N71" s="123">
        <f t="shared" si="129"/>
        <v>20892.87928</v>
      </c>
      <c r="O71" s="123">
        <f t="shared" si="129"/>
        <v>27212.51988</v>
      </c>
      <c r="P71" s="123">
        <f t="shared" si="129"/>
        <v>34908.3604</v>
      </c>
      <c r="Q71" s="124">
        <f t="shared" si="129"/>
        <v>44256.3908</v>
      </c>
      <c r="R71" s="1"/>
      <c r="S71" s="123">
        <f t="shared" ref="S71:Y71" si="130">S69+S68+S65-S61+S70</f>
        <v>629</v>
      </c>
      <c r="T71" s="123">
        <f t="shared" si="130"/>
        <v>669</v>
      </c>
      <c r="U71" s="123">
        <f t="shared" si="130"/>
        <v>3548.875</v>
      </c>
      <c r="V71" s="123">
        <f t="shared" si="130"/>
        <v>8319.28255</v>
      </c>
      <c r="W71" s="123">
        <f t="shared" si="130"/>
        <v>15684.49924</v>
      </c>
      <c r="X71" s="123">
        <f t="shared" si="130"/>
        <v>27898.32665</v>
      </c>
      <c r="Y71" s="94">
        <f t="shared" si="130"/>
        <v>45849.75288</v>
      </c>
      <c r="Z71" s="1"/>
      <c r="AA71" s="123">
        <f t="shared" ref="AA71:AG71" si="131">AA69+AA68+AA65-AA61+AA70</f>
        <v>2347</v>
      </c>
      <c r="AB71" s="123">
        <f t="shared" si="131"/>
        <v>1690.936111</v>
      </c>
      <c r="AC71" s="123">
        <f t="shared" si="131"/>
        <v>2317.458241</v>
      </c>
      <c r="AD71" s="123">
        <f t="shared" si="131"/>
        <v>3039.504425</v>
      </c>
      <c r="AE71" s="123">
        <f t="shared" si="131"/>
        <v>3869.602814</v>
      </c>
      <c r="AF71" s="123">
        <f t="shared" si="131"/>
        <v>4821.850087</v>
      </c>
      <c r="AG71" s="94">
        <f t="shared" si="131"/>
        <v>5912.104587</v>
      </c>
      <c r="AH71" s="1"/>
      <c r="AI71" s="87">
        <f t="shared" ref="AI71:AO71" si="132">AI69+AI68+AI65-AI61+AI70</f>
        <v>0</v>
      </c>
      <c r="AJ71" s="87">
        <f t="shared" si="132"/>
        <v>0</v>
      </c>
      <c r="AK71" s="87">
        <f t="shared" si="132"/>
        <v>0</v>
      </c>
      <c r="AL71" s="87">
        <f t="shared" si="132"/>
        <v>0</v>
      </c>
      <c r="AM71" s="87">
        <f t="shared" si="132"/>
        <v>0</v>
      </c>
      <c r="AN71" s="87">
        <f t="shared" si="132"/>
        <v>0</v>
      </c>
      <c r="AO71" s="87">
        <f t="shared" si="132"/>
        <v>0</v>
      </c>
      <c r="AP71" s="1"/>
      <c r="AQ71" s="88">
        <f t="shared" ref="AQ71:AW71" si="133">C71+K71+S71+AI71</f>
        <v>31333</v>
      </c>
      <c r="AR71" s="88">
        <f t="shared" si="133"/>
        <v>32112.14448</v>
      </c>
      <c r="AS71" s="88">
        <f t="shared" si="133"/>
        <v>43348.94992</v>
      </c>
      <c r="AT71" s="88">
        <f t="shared" si="133"/>
        <v>58683.55482</v>
      </c>
      <c r="AU71" s="88">
        <f t="shared" si="133"/>
        <v>78945.46359</v>
      </c>
      <c r="AV71" s="88">
        <f t="shared" si="133"/>
        <v>106826.8396</v>
      </c>
      <c r="AW71" s="88">
        <f t="shared" si="133"/>
        <v>143733.9858</v>
      </c>
      <c r="AX71" s="89">
        <f t="shared" si="96"/>
        <v>129</v>
      </c>
      <c r="AY71" s="90">
        <f t="shared" si="97"/>
        <v>0.00650923403</v>
      </c>
      <c r="AZ71" s="89">
        <f t="shared" si="98"/>
        <v>610.1444773</v>
      </c>
      <c r="BA71" s="90">
        <f t="shared" si="110"/>
        <v>5.604854651</v>
      </c>
      <c r="BB71" s="89">
        <f t="shared" si="99"/>
        <v>40</v>
      </c>
      <c r="BC71" s="90">
        <f t="shared" si="111"/>
        <v>6.359300477</v>
      </c>
      <c r="BD71" s="89">
        <f t="shared" si="100"/>
        <v>-656.0638889</v>
      </c>
      <c r="BE71" s="91">
        <f t="shared" si="112"/>
        <v>-27.95329735</v>
      </c>
      <c r="BF71" s="92">
        <f t="shared" si="103"/>
        <v>123.0805884</v>
      </c>
      <c r="BG71" s="93">
        <f t="shared" si="113"/>
        <v>-15.98263299</v>
      </c>
      <c r="BH71" s="1"/>
      <c r="BI71" s="94"/>
      <c r="BJ71" s="94"/>
      <c r="BK71" s="94"/>
      <c r="BL71" s="94"/>
      <c r="BM71" s="94"/>
      <c r="BN71" s="1"/>
      <c r="BO71" s="95"/>
      <c r="BP71" s="95"/>
      <c r="BQ71" s="95"/>
      <c r="BR71" s="95"/>
      <c r="BS71" s="95"/>
      <c r="BT71" s="1"/>
      <c r="BU71" s="94"/>
      <c r="BV71" s="94"/>
      <c r="BW71" s="94"/>
      <c r="BX71" s="94"/>
      <c r="BY71" s="1"/>
      <c r="BZ71" s="94"/>
      <c r="CA71" s="94"/>
      <c r="CB71" s="94"/>
      <c r="CC71" s="94"/>
      <c r="CD71" s="94"/>
    </row>
    <row r="72" ht="19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BE72" s="1"/>
      <c r="BF72" s="125"/>
      <c r="BG72" s="125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ht="19.5" customHeight="1">
      <c r="A73" s="1"/>
      <c r="B73" s="126" t="s">
        <v>84</v>
      </c>
      <c r="C73" s="127"/>
      <c r="D73" s="128">
        <v>2024.0</v>
      </c>
      <c r="E73" s="129">
        <v>2025.0</v>
      </c>
      <c r="F73" s="129">
        <v>2026.0</v>
      </c>
      <c r="G73" s="129">
        <v>2027.0</v>
      </c>
      <c r="H73" s="129">
        <v>2028.0</v>
      </c>
      <c r="I73" s="129">
        <v>2029.0</v>
      </c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30"/>
      <c r="AY73" s="131"/>
      <c r="AZ73" s="131"/>
      <c r="BA73" s="131"/>
      <c r="BB73" s="131"/>
      <c r="BC73" s="131"/>
      <c r="BD73" s="131"/>
      <c r="BE73" s="1"/>
      <c r="BF73" s="125"/>
      <c r="BG73" s="125"/>
      <c r="BH73" s="1"/>
      <c r="BI73" s="50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ht="19.5" customHeight="1">
      <c r="A74" s="1"/>
      <c r="B74" s="132" t="s">
        <v>25</v>
      </c>
      <c r="C74" s="133"/>
      <c r="D74" s="134">
        <v>75719.0</v>
      </c>
      <c r="E74" s="134">
        <f t="shared" ref="E74:I74" si="134">E17*$D$19/$D$17</f>
        <v>87217.93923</v>
      </c>
      <c r="F74" s="134">
        <f t="shared" si="134"/>
        <v>100463.6678</v>
      </c>
      <c r="G74" s="134">
        <f t="shared" si="134"/>
        <v>115721.2819</v>
      </c>
      <c r="H74" s="134">
        <f t="shared" si="134"/>
        <v>133296.406</v>
      </c>
      <c r="I74" s="134">
        <f t="shared" si="134"/>
        <v>153541.0977</v>
      </c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30"/>
      <c r="AY74" s="131"/>
      <c r="AZ74" s="131"/>
      <c r="BA74" s="131"/>
      <c r="BB74" s="131"/>
      <c r="BC74" s="131"/>
      <c r="BD74" s="131"/>
      <c r="BE74" s="1"/>
      <c r="BF74" s="125"/>
      <c r="BG74" s="125"/>
      <c r="BH74" s="1"/>
      <c r="BI74" s="50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ht="19.5" customHeight="1">
      <c r="A75" s="1"/>
      <c r="B75" s="135" t="s">
        <v>85</v>
      </c>
      <c r="C75" s="133"/>
      <c r="D75" s="136">
        <v>680.0</v>
      </c>
      <c r="E75" s="137"/>
      <c r="F75" s="137"/>
      <c r="G75" s="137"/>
      <c r="H75" s="137"/>
      <c r="I75" s="137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30"/>
      <c r="AY75" s="131"/>
      <c r="AZ75" s="131"/>
      <c r="BA75" s="131"/>
      <c r="BB75" s="131"/>
      <c r="BC75" s="131"/>
      <c r="BD75" s="131"/>
      <c r="BE75" s="1"/>
      <c r="BF75" s="125"/>
      <c r="BG75" s="125"/>
      <c r="BH75" s="1"/>
      <c r="BI75" s="50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ht="19.5" customHeight="1">
      <c r="A76" s="1"/>
      <c r="B76" s="138" t="s">
        <v>86</v>
      </c>
      <c r="C76" s="139"/>
      <c r="D76" s="140"/>
      <c r="E76" s="141">
        <f t="shared" ref="E76:I76" si="135">E15*12*E14*(1+E16)</f>
        <v>1560000</v>
      </c>
      <c r="F76" s="141">
        <f t="shared" si="135"/>
        <v>1560000</v>
      </c>
      <c r="G76" s="141">
        <f t="shared" si="135"/>
        <v>1560000</v>
      </c>
      <c r="H76" s="141">
        <f t="shared" si="135"/>
        <v>1560000</v>
      </c>
      <c r="I76" s="141">
        <f t="shared" si="135"/>
        <v>1560000</v>
      </c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42" t="s">
        <v>87</v>
      </c>
      <c r="BE76" s="1"/>
      <c r="BF76" s="125"/>
      <c r="BG76" s="125"/>
      <c r="BH76" s="1"/>
      <c r="BI76" s="50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ht="19.5" customHeight="1">
      <c r="A77" s="1"/>
      <c r="B77" s="143"/>
      <c r="C77" s="1"/>
      <c r="D77" s="1"/>
      <c r="E77" s="144"/>
      <c r="F77" s="144"/>
      <c r="G77" s="144"/>
      <c r="H77" s="144"/>
      <c r="I77" s="144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45" t="s">
        <v>88</v>
      </c>
      <c r="AY77" s="145" t="s">
        <v>89</v>
      </c>
      <c r="AZ77" s="145" t="s">
        <v>90</v>
      </c>
      <c r="BA77" s="145" t="s">
        <v>91</v>
      </c>
      <c r="BB77" s="145" t="s">
        <v>92</v>
      </c>
      <c r="BC77" s="145" t="s">
        <v>93</v>
      </c>
      <c r="BD77" s="145" t="s">
        <v>94</v>
      </c>
      <c r="BE77" s="1"/>
      <c r="BF77" s="125"/>
      <c r="BG77" s="125"/>
      <c r="BH77" s="1"/>
      <c r="BI77" s="50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ht="19.5" customHeight="1">
      <c r="A78" s="1"/>
      <c r="B78" s="8" t="s">
        <v>95</v>
      </c>
      <c r="C78" s="1"/>
      <c r="D78" s="1"/>
      <c r="E78" s="62"/>
      <c r="F78" s="63"/>
      <c r="G78" s="63"/>
      <c r="H78" s="63"/>
      <c r="I78" s="63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46" t="s">
        <v>1</v>
      </c>
      <c r="AY78" s="147">
        <f t="shared" ref="AY78:AZ78" si="136">C69</f>
        <v>14995.2</v>
      </c>
      <c r="AZ78" s="147">
        <f t="shared" si="136"/>
        <v>15098.4</v>
      </c>
      <c r="BA78" s="147">
        <f>D69-C69</f>
        <v>103.2</v>
      </c>
      <c r="BB78" s="148">
        <f t="shared" ref="BB78:BB82" si="138">AZ78/AY78*100</f>
        <v>100.6882202</v>
      </c>
      <c r="BC78" s="148">
        <f t="shared" ref="BC78:BC82" si="139">(AZ78-AY78)/AY78*100</f>
        <v>0.6882202305</v>
      </c>
      <c r="BD78" s="148">
        <f t="shared" ref="BD78:BD81" si="140">BA78/$BA$82*100</f>
        <v>104.6104144</v>
      </c>
      <c r="BE78" s="1"/>
      <c r="BF78" s="125"/>
      <c r="BG78" s="125"/>
      <c r="BH78" s="1"/>
      <c r="BI78" s="50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ht="19.5" customHeight="1">
      <c r="A79" s="1"/>
      <c r="B79" s="67"/>
      <c r="C79" s="9" t="s">
        <v>1</v>
      </c>
      <c r="D79" s="10"/>
      <c r="E79" s="10"/>
      <c r="F79" s="10"/>
      <c r="G79" s="10"/>
      <c r="H79" s="10"/>
      <c r="I79" s="11"/>
      <c r="J79" s="1"/>
      <c r="K79" s="9" t="s">
        <v>2</v>
      </c>
      <c r="L79" s="10"/>
      <c r="M79" s="10"/>
      <c r="N79" s="10"/>
      <c r="O79" s="10"/>
      <c r="P79" s="10"/>
      <c r="Q79" s="11"/>
      <c r="R79" s="1"/>
      <c r="S79" s="9" t="s">
        <v>3</v>
      </c>
      <c r="T79" s="10"/>
      <c r="U79" s="10"/>
      <c r="V79" s="10"/>
      <c r="W79" s="10"/>
      <c r="X79" s="10"/>
      <c r="Y79" s="11"/>
      <c r="Z79" s="1"/>
      <c r="AA79" s="9" t="s">
        <v>4</v>
      </c>
      <c r="AB79" s="10"/>
      <c r="AC79" s="10"/>
      <c r="AD79" s="10"/>
      <c r="AE79" s="10"/>
      <c r="AF79" s="10"/>
      <c r="AG79" s="11"/>
      <c r="AH79" s="1"/>
      <c r="AI79" s="149" t="s">
        <v>42</v>
      </c>
      <c r="AJ79" s="69"/>
      <c r="AK79" s="69"/>
      <c r="AL79" s="69"/>
      <c r="AM79" s="69"/>
      <c r="AN79" s="69"/>
      <c r="AO79" s="69"/>
      <c r="AP79" s="1"/>
      <c r="AQ79" s="150" t="s">
        <v>43</v>
      </c>
      <c r="AR79" s="69"/>
      <c r="AS79" s="69"/>
      <c r="AT79" s="69"/>
      <c r="AU79" s="69"/>
      <c r="AV79" s="69"/>
      <c r="AW79" s="69"/>
      <c r="AX79" s="151" t="s">
        <v>2</v>
      </c>
      <c r="AY79" s="152">
        <f t="shared" ref="AY79:AZ79" si="137">K69</f>
        <v>7088.8</v>
      </c>
      <c r="AZ79" s="152">
        <f t="shared" si="137"/>
        <v>7576.806412</v>
      </c>
      <c r="BA79" s="147">
        <f>L69-K69</f>
        <v>488.0064124</v>
      </c>
      <c r="BB79" s="148">
        <f t="shared" si="138"/>
        <v>106.8841893</v>
      </c>
      <c r="BC79" s="148">
        <f t="shared" si="139"/>
        <v>6.884189318</v>
      </c>
      <c r="BD79" s="148">
        <f t="shared" si="140"/>
        <v>494.6759015</v>
      </c>
      <c r="BE79" s="1"/>
      <c r="BF79" s="125"/>
      <c r="BG79" s="125"/>
      <c r="BH79" s="1"/>
      <c r="BI79" s="74"/>
      <c r="BN79" s="1"/>
      <c r="BO79" s="7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ht="19.5" customHeight="1">
      <c r="A80" s="1"/>
      <c r="B80" s="13"/>
      <c r="C80" s="13" t="s">
        <v>27</v>
      </c>
      <c r="D80" s="13" t="s">
        <v>6</v>
      </c>
      <c r="E80" s="14">
        <v>2025.0</v>
      </c>
      <c r="F80" s="14">
        <v>2026.0</v>
      </c>
      <c r="G80" s="14">
        <v>2027.0</v>
      </c>
      <c r="H80" s="14">
        <v>2028.0</v>
      </c>
      <c r="I80" s="14">
        <v>2029.0</v>
      </c>
      <c r="J80" s="1"/>
      <c r="K80" s="13" t="s">
        <v>27</v>
      </c>
      <c r="L80" s="13" t="s">
        <v>6</v>
      </c>
      <c r="M80" s="14">
        <v>2025.0</v>
      </c>
      <c r="N80" s="14">
        <v>2026.0</v>
      </c>
      <c r="O80" s="14">
        <v>2027.0</v>
      </c>
      <c r="P80" s="14">
        <v>2028.0</v>
      </c>
      <c r="Q80" s="14">
        <v>2029.0</v>
      </c>
      <c r="R80" s="1"/>
      <c r="S80" s="13" t="s">
        <v>27</v>
      </c>
      <c r="T80" s="13" t="s">
        <v>6</v>
      </c>
      <c r="U80" s="14">
        <v>2025.0</v>
      </c>
      <c r="V80" s="14">
        <v>2026.0</v>
      </c>
      <c r="W80" s="14">
        <v>2027.0</v>
      </c>
      <c r="X80" s="14">
        <v>2028.0</v>
      </c>
      <c r="Y80" s="14">
        <v>2029.0</v>
      </c>
      <c r="Z80" s="1"/>
      <c r="AA80" s="13" t="s">
        <v>27</v>
      </c>
      <c r="AB80" s="13" t="s">
        <v>6</v>
      </c>
      <c r="AC80" s="14">
        <v>2025.0</v>
      </c>
      <c r="AD80" s="14">
        <v>2026.0</v>
      </c>
      <c r="AE80" s="14">
        <v>2027.0</v>
      </c>
      <c r="AF80" s="14">
        <v>2028.0</v>
      </c>
      <c r="AG80" s="14">
        <v>2029.0</v>
      </c>
      <c r="AH80" s="1"/>
      <c r="AI80" s="153" t="s">
        <v>46</v>
      </c>
      <c r="AJ80" s="153" t="s">
        <v>47</v>
      </c>
      <c r="AK80" s="154">
        <v>46022.0</v>
      </c>
      <c r="AL80" s="154">
        <v>46387.0</v>
      </c>
      <c r="AM80" s="154">
        <v>46752.0</v>
      </c>
      <c r="AN80" s="154">
        <v>47118.0</v>
      </c>
      <c r="AO80" s="154">
        <v>47483.0</v>
      </c>
      <c r="AP80" s="1"/>
      <c r="AQ80" s="155" t="s">
        <v>46</v>
      </c>
      <c r="AR80" s="155" t="s">
        <v>47</v>
      </c>
      <c r="AS80" s="156">
        <v>46022.0</v>
      </c>
      <c r="AT80" s="156">
        <v>46387.0</v>
      </c>
      <c r="AU80" s="156">
        <v>46752.0</v>
      </c>
      <c r="AV80" s="156">
        <v>47118.0</v>
      </c>
      <c r="AW80" s="156">
        <v>47483.0</v>
      </c>
      <c r="AX80" s="151" t="s">
        <v>3</v>
      </c>
      <c r="AY80" s="152">
        <f t="shared" ref="AY80:AZ80" si="141">S69</f>
        <v>636.8</v>
      </c>
      <c r="AZ80" s="152">
        <f t="shared" si="141"/>
        <v>668.8</v>
      </c>
      <c r="BA80" s="147">
        <f>T69-S69</f>
        <v>32</v>
      </c>
      <c r="BB80" s="148">
        <f t="shared" si="138"/>
        <v>105.0251256</v>
      </c>
      <c r="BC80" s="148">
        <f t="shared" si="139"/>
        <v>5.025125628</v>
      </c>
      <c r="BD80" s="148">
        <f t="shared" si="140"/>
        <v>32.4373378</v>
      </c>
      <c r="BE80" s="1"/>
      <c r="BF80" s="125"/>
      <c r="BG80" s="125"/>
      <c r="BH80" s="1"/>
      <c r="BI80" s="39"/>
      <c r="BJ80" s="39"/>
      <c r="BK80" s="39"/>
      <c r="BL80" s="39"/>
      <c r="BM80" s="39"/>
      <c r="BN80" s="1"/>
      <c r="BO80" s="39"/>
      <c r="BP80" s="39"/>
      <c r="BQ80" s="39"/>
      <c r="BR80" s="39"/>
      <c r="BS80" s="39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ht="19.5" customHeight="1">
      <c r="A81" s="1"/>
      <c r="B81" s="157" t="s">
        <v>96</v>
      </c>
      <c r="C81" s="84">
        <v>9.0</v>
      </c>
      <c r="D81" s="84">
        <v>662.6</v>
      </c>
      <c r="E81" s="83">
        <f t="shared" ref="E81:I81" si="142">D113</f>
        <v>9686</v>
      </c>
      <c r="F81" s="83">
        <f t="shared" si="142"/>
        <v>10332.96802</v>
      </c>
      <c r="G81" s="83">
        <f t="shared" si="142"/>
        <v>10293.88035</v>
      </c>
      <c r="H81" s="83">
        <f t="shared" si="142"/>
        <v>10057.11989</v>
      </c>
      <c r="I81" s="83">
        <f t="shared" si="142"/>
        <v>9409.91955</v>
      </c>
      <c r="J81" s="1"/>
      <c r="K81" s="84">
        <v>791.1999999999971</v>
      </c>
      <c r="L81" s="84">
        <v>419.68907408257</v>
      </c>
      <c r="M81" s="83">
        <f t="shared" ref="M81:Q81" si="143">L113</f>
        <v>13010.30886</v>
      </c>
      <c r="N81" s="83">
        <f t="shared" si="143"/>
        <v>19152.0595</v>
      </c>
      <c r="O81" s="83">
        <f t="shared" si="143"/>
        <v>25534.50307</v>
      </c>
      <c r="P81" s="83">
        <f t="shared" si="143"/>
        <v>31082.71956</v>
      </c>
      <c r="Q81" s="85">
        <f t="shared" si="143"/>
        <v>36907.37196</v>
      </c>
      <c r="R81" s="1"/>
      <c r="S81" s="84">
        <v>273.2000000000007</v>
      </c>
      <c r="T81" s="84">
        <v>40.20000000000073</v>
      </c>
      <c r="U81" s="83">
        <f t="shared" ref="U81:Y81" si="144">T113</f>
        <v>1282</v>
      </c>
      <c r="V81" s="83">
        <f t="shared" si="144"/>
        <v>4889.736</v>
      </c>
      <c r="W81" s="83">
        <f t="shared" si="144"/>
        <v>13153.4862</v>
      </c>
      <c r="X81" s="83">
        <f t="shared" si="144"/>
        <v>24010.9772</v>
      </c>
      <c r="Y81" s="85">
        <f t="shared" si="144"/>
        <v>34624.20563</v>
      </c>
      <c r="Z81" s="1"/>
      <c r="AA81" s="84">
        <v>144.0</v>
      </c>
      <c r="AB81" s="84">
        <v>444.03722222222245</v>
      </c>
      <c r="AC81" s="83">
        <f t="shared" ref="AC81:AG81" si="145">AB113</f>
        <v>3023.816222</v>
      </c>
      <c r="AD81" s="83">
        <f t="shared" si="145"/>
        <v>5907.24174</v>
      </c>
      <c r="AE81" s="83">
        <f t="shared" si="145"/>
        <v>9369.482561</v>
      </c>
      <c r="AF81" s="83">
        <f t="shared" si="145"/>
        <v>13497.02759</v>
      </c>
      <c r="AG81" s="85">
        <f t="shared" si="145"/>
        <v>18387.64494</v>
      </c>
      <c r="AH81" s="1"/>
      <c r="AI81" s="158">
        <v>0.0</v>
      </c>
      <c r="AJ81" s="158">
        <v>0.0</v>
      </c>
      <c r="AK81" s="158">
        <v>0.0</v>
      </c>
      <c r="AL81" s="158">
        <v>0.0</v>
      </c>
      <c r="AM81" s="158">
        <v>0.0</v>
      </c>
      <c r="AN81" s="158">
        <v>0.0</v>
      </c>
      <c r="AO81" s="158">
        <v>0.0</v>
      </c>
      <c r="AP81" s="1"/>
      <c r="AQ81" s="159">
        <f t="shared" ref="AQ81:AW81" si="146">C81+K81+S81+AI81</f>
        <v>1073.4</v>
      </c>
      <c r="AR81" s="159">
        <f t="shared" si="146"/>
        <v>1122.489074</v>
      </c>
      <c r="AS81" s="159">
        <f t="shared" si="146"/>
        <v>23978.30886</v>
      </c>
      <c r="AT81" s="159">
        <f t="shared" si="146"/>
        <v>34374.76352</v>
      </c>
      <c r="AU81" s="159">
        <f t="shared" si="146"/>
        <v>48981.86963</v>
      </c>
      <c r="AV81" s="159">
        <f t="shared" si="146"/>
        <v>65150.81666</v>
      </c>
      <c r="AW81" s="159">
        <f t="shared" si="146"/>
        <v>80941.49714</v>
      </c>
      <c r="AX81" s="160" t="s">
        <v>4</v>
      </c>
      <c r="AY81" s="161">
        <f t="shared" ref="AY81:AZ81" si="147">AA69</f>
        <v>1764</v>
      </c>
      <c r="AZ81" s="161">
        <f t="shared" si="147"/>
        <v>1239.445333</v>
      </c>
      <c r="BA81" s="147">
        <f>AB69-AA69</f>
        <v>-524.5546667</v>
      </c>
      <c r="BB81" s="148">
        <f t="shared" si="138"/>
        <v>70.26334089</v>
      </c>
      <c r="BC81" s="148">
        <f t="shared" si="139"/>
        <v>-29.73665911</v>
      </c>
      <c r="BD81" s="148">
        <f t="shared" si="140"/>
        <v>-531.7236537</v>
      </c>
      <c r="BE81" s="1"/>
      <c r="BF81" s="125"/>
      <c r="BG81" s="125"/>
      <c r="BH81" s="1"/>
      <c r="BI81" s="94"/>
      <c r="BJ81" s="94"/>
      <c r="BK81" s="94"/>
      <c r="BL81" s="94"/>
      <c r="BM81" s="94"/>
      <c r="BN81" s="1"/>
      <c r="BO81" s="95"/>
      <c r="BP81" s="95"/>
      <c r="BQ81" s="95"/>
      <c r="BR81" s="95"/>
      <c r="BS81" s="95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ht="19.5" customHeight="1">
      <c r="A82" s="1"/>
      <c r="B82" s="162"/>
      <c r="C82" s="162"/>
      <c r="D82" s="162"/>
      <c r="E82" s="162"/>
      <c r="F82" s="162"/>
      <c r="G82" s="162"/>
      <c r="H82" s="162"/>
      <c r="I82" s="162"/>
      <c r="J82" s="1"/>
      <c r="K82" s="162"/>
      <c r="L82" s="162"/>
      <c r="M82" s="162"/>
      <c r="N82" s="162"/>
      <c r="O82" s="162"/>
      <c r="P82" s="162"/>
      <c r="Q82" s="162"/>
      <c r="R82" s="1"/>
      <c r="S82" s="162"/>
      <c r="T82" s="162"/>
      <c r="U82" s="162"/>
      <c r="V82" s="162"/>
      <c r="W82" s="162"/>
      <c r="X82" s="162"/>
      <c r="Y82" s="162"/>
      <c r="Z82" s="1"/>
      <c r="AA82" s="162"/>
      <c r="AB82" s="162"/>
      <c r="AC82" s="162"/>
      <c r="AD82" s="162"/>
      <c r="AE82" s="162"/>
      <c r="AF82" s="162"/>
      <c r="AG82" s="162"/>
      <c r="AH82" s="1"/>
      <c r="AI82" s="158" t="s">
        <v>20</v>
      </c>
      <c r="AJ82" s="158" t="s">
        <v>20</v>
      </c>
      <c r="AK82" s="158" t="s">
        <v>20</v>
      </c>
      <c r="AL82" s="158" t="s">
        <v>20</v>
      </c>
      <c r="AM82" s="158" t="s">
        <v>20</v>
      </c>
      <c r="AN82" s="158" t="s">
        <v>20</v>
      </c>
      <c r="AO82" s="158" t="s">
        <v>20</v>
      </c>
      <c r="AP82" s="1"/>
      <c r="AQ82" s="163" t="s">
        <v>20</v>
      </c>
      <c r="AR82" s="163" t="s">
        <v>20</v>
      </c>
      <c r="AS82" s="163" t="s">
        <v>20</v>
      </c>
      <c r="AT82" s="163" t="s">
        <v>20</v>
      </c>
      <c r="AU82" s="163" t="s">
        <v>20</v>
      </c>
      <c r="AV82" s="163" t="s">
        <v>20</v>
      </c>
      <c r="AW82" s="163" t="s">
        <v>20</v>
      </c>
      <c r="AX82" s="164" t="s">
        <v>97</v>
      </c>
      <c r="AY82" s="161">
        <f t="shared" ref="AY82:AZ82" si="148">SUM(AY78:AY81)</f>
        <v>24484.8</v>
      </c>
      <c r="AZ82" s="161">
        <f t="shared" si="148"/>
        <v>24583.45175</v>
      </c>
      <c r="BA82" s="161">
        <f>AZ82-AY82</f>
        <v>98.65174569</v>
      </c>
      <c r="BB82" s="148">
        <f t="shared" si="138"/>
        <v>100.4029102</v>
      </c>
      <c r="BC82" s="148">
        <f t="shared" si="139"/>
        <v>0.4029101552</v>
      </c>
      <c r="BD82" s="165">
        <v>1.0</v>
      </c>
      <c r="BE82" s="1"/>
      <c r="BF82" s="125"/>
      <c r="BG82" s="125"/>
      <c r="BH82" s="1"/>
      <c r="BI82" s="162"/>
      <c r="BJ82" s="162"/>
      <c r="BK82" s="162"/>
      <c r="BL82" s="162"/>
      <c r="BM82" s="162"/>
      <c r="BN82" s="1"/>
      <c r="BO82" s="166"/>
      <c r="BP82" s="166"/>
      <c r="BQ82" s="166"/>
      <c r="BR82" s="166"/>
      <c r="BS82" s="166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ht="19.5" customHeight="1">
      <c r="A83" s="1"/>
      <c r="B83" s="162" t="s">
        <v>98</v>
      </c>
      <c r="C83" s="162"/>
      <c r="D83" s="162"/>
      <c r="E83" s="162"/>
      <c r="F83" s="162"/>
      <c r="G83" s="162"/>
      <c r="H83" s="162"/>
      <c r="I83" s="162"/>
      <c r="J83" s="1"/>
      <c r="K83" s="162"/>
      <c r="L83" s="162"/>
      <c r="M83" s="162"/>
      <c r="N83" s="162"/>
      <c r="O83" s="162"/>
      <c r="P83" s="162"/>
      <c r="Q83" s="162"/>
      <c r="R83" s="1"/>
      <c r="S83" s="162"/>
      <c r="T83" s="162"/>
      <c r="U83" s="162"/>
      <c r="V83" s="162"/>
      <c r="W83" s="162"/>
      <c r="X83" s="162"/>
      <c r="Y83" s="162"/>
      <c r="Z83" s="1"/>
      <c r="AA83" s="162"/>
      <c r="AB83" s="162"/>
      <c r="AC83" s="162"/>
      <c r="AD83" s="162"/>
      <c r="AE83" s="162"/>
      <c r="AF83" s="162"/>
      <c r="AG83" s="162"/>
      <c r="AH83" s="1"/>
      <c r="AI83" s="158" t="s">
        <v>20</v>
      </c>
      <c r="AJ83" s="158" t="s">
        <v>20</v>
      </c>
      <c r="AK83" s="158" t="s">
        <v>20</v>
      </c>
      <c r="AL83" s="158" t="s">
        <v>20</v>
      </c>
      <c r="AM83" s="158" t="s">
        <v>20</v>
      </c>
      <c r="AN83" s="158" t="s">
        <v>20</v>
      </c>
      <c r="AO83" s="158" t="s">
        <v>20</v>
      </c>
      <c r="AP83" s="1"/>
      <c r="AQ83" s="163" t="s">
        <v>20</v>
      </c>
      <c r="AR83" s="163" t="s">
        <v>20</v>
      </c>
      <c r="AS83" s="163" t="s">
        <v>20</v>
      </c>
      <c r="AT83" s="163" t="s">
        <v>20</v>
      </c>
      <c r="AU83" s="163" t="s">
        <v>20</v>
      </c>
      <c r="AV83" s="163" t="s">
        <v>20</v>
      </c>
      <c r="AW83" s="163" t="s">
        <v>20</v>
      </c>
      <c r="AX83" s="167" t="s">
        <v>99</v>
      </c>
      <c r="BD83" s="168" t="s">
        <v>100</v>
      </c>
      <c r="BH83" s="169"/>
      <c r="BI83" s="170"/>
      <c r="BJ83" s="162"/>
      <c r="BK83" s="162"/>
      <c r="BL83" s="162"/>
      <c r="BM83" s="162"/>
      <c r="BN83" s="1"/>
      <c r="BO83" s="166"/>
      <c r="BP83" s="166"/>
      <c r="BQ83" s="166"/>
      <c r="BR83" s="166"/>
      <c r="BS83" s="166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ht="19.5" customHeight="1">
      <c r="A84" s="1"/>
      <c r="B84" s="157" t="s">
        <v>101</v>
      </c>
      <c r="C84" s="84">
        <f t="shared" ref="C84:I84" si="149">SUM(C85:C90)</f>
        <v>55700</v>
      </c>
      <c r="D84" s="84">
        <f t="shared" si="149"/>
        <v>53772</v>
      </c>
      <c r="E84" s="84">
        <f t="shared" si="149"/>
        <v>59321.3924</v>
      </c>
      <c r="F84" s="84">
        <f t="shared" si="149"/>
        <v>66682.21895</v>
      </c>
      <c r="G84" s="84">
        <f t="shared" si="149"/>
        <v>76596.02569</v>
      </c>
      <c r="H84" s="84">
        <f t="shared" si="149"/>
        <v>88757.31118</v>
      </c>
      <c r="I84" s="84">
        <f t="shared" si="149"/>
        <v>102766.1032</v>
      </c>
      <c r="J84" s="1"/>
      <c r="K84" s="84">
        <f t="shared" ref="K84:Q84" si="150">SUM(K85:K90)</f>
        <v>49950</v>
      </c>
      <c r="L84" s="84">
        <f t="shared" si="150"/>
        <v>50718.47614</v>
      </c>
      <c r="M84" s="84">
        <f t="shared" si="150"/>
        <v>52086.3303</v>
      </c>
      <c r="N84" s="84">
        <f t="shared" si="150"/>
        <v>61557.05776</v>
      </c>
      <c r="O84" s="84">
        <f t="shared" si="150"/>
        <v>72759.42099</v>
      </c>
      <c r="P84" s="84">
        <f t="shared" si="150"/>
        <v>86010.94803</v>
      </c>
      <c r="Q84" s="86">
        <f t="shared" si="150"/>
        <v>101687.4937</v>
      </c>
      <c r="R84" s="1"/>
      <c r="S84" s="84">
        <f t="shared" ref="S84:Y84" si="151">SUM(S85:S90)</f>
        <v>24955</v>
      </c>
      <c r="T84" s="84">
        <f t="shared" si="151"/>
        <v>25118</v>
      </c>
      <c r="U84" s="84">
        <f t="shared" si="151"/>
        <v>30405.325</v>
      </c>
      <c r="V84" s="84">
        <f t="shared" si="151"/>
        <v>39086.87005</v>
      </c>
      <c r="W84" s="84">
        <f t="shared" si="151"/>
        <v>50209.58013</v>
      </c>
      <c r="X84" s="84">
        <f t="shared" si="151"/>
        <v>65918.84998</v>
      </c>
      <c r="Y84" s="86">
        <f t="shared" si="151"/>
        <v>87612.51852</v>
      </c>
      <c r="Z84" s="1"/>
      <c r="AA84" s="84">
        <f t="shared" ref="AA84:AG84" si="152">SUM(AA85:AA90)</f>
        <v>10010</v>
      </c>
      <c r="AB84" s="84">
        <f t="shared" si="152"/>
        <v>9266.657556</v>
      </c>
      <c r="AC84" s="84">
        <f t="shared" si="152"/>
        <v>9888.731052</v>
      </c>
      <c r="AD84" s="84">
        <f t="shared" si="152"/>
        <v>10967.44048</v>
      </c>
      <c r="AE84" s="84">
        <f t="shared" si="152"/>
        <v>12177.16224</v>
      </c>
      <c r="AF84" s="84">
        <f t="shared" si="152"/>
        <v>13533.8123</v>
      </c>
      <c r="AG84" s="86">
        <f t="shared" si="152"/>
        <v>15055.24034</v>
      </c>
      <c r="AH84" s="1"/>
      <c r="AI84" s="171">
        <f t="shared" ref="AI84:AO84" si="153">SUM(AI85:AI90)</f>
        <v>2522.3</v>
      </c>
      <c r="AJ84" s="171">
        <f t="shared" si="153"/>
        <v>2522.3</v>
      </c>
      <c r="AK84" s="171">
        <f t="shared" si="153"/>
        <v>2762.1</v>
      </c>
      <c r="AL84" s="171">
        <f t="shared" si="153"/>
        <v>2889.755</v>
      </c>
      <c r="AM84" s="171">
        <f t="shared" si="153"/>
        <v>3017.46775</v>
      </c>
      <c r="AN84" s="171">
        <f t="shared" si="153"/>
        <v>3145.241138</v>
      </c>
      <c r="AO84" s="171">
        <f t="shared" si="153"/>
        <v>3273.078194</v>
      </c>
      <c r="AP84" s="1"/>
      <c r="AQ84" s="159">
        <f t="shared" ref="AQ84:AW84" si="154">C84+K84+S84+AI84</f>
        <v>133127.3</v>
      </c>
      <c r="AR84" s="159">
        <f t="shared" si="154"/>
        <v>132130.7761</v>
      </c>
      <c r="AS84" s="159">
        <f t="shared" si="154"/>
        <v>144575.1477</v>
      </c>
      <c r="AT84" s="159">
        <f t="shared" si="154"/>
        <v>170215.9018</v>
      </c>
      <c r="AU84" s="159">
        <f t="shared" si="154"/>
        <v>202582.4946</v>
      </c>
      <c r="AV84" s="159">
        <f t="shared" si="154"/>
        <v>243832.3503</v>
      </c>
      <c r="AW84" s="159">
        <f t="shared" si="154"/>
        <v>295339.1936</v>
      </c>
      <c r="AX84" s="172" t="s">
        <v>102</v>
      </c>
      <c r="AY84" s="173">
        <v>2025.0</v>
      </c>
      <c r="AZ84" s="173">
        <v>2026.0</v>
      </c>
      <c r="BA84" s="173">
        <v>2027.0</v>
      </c>
      <c r="BB84" s="173">
        <v>2028.0</v>
      </c>
      <c r="BC84" s="173">
        <v>2029.0</v>
      </c>
      <c r="BD84" s="174" t="s">
        <v>102</v>
      </c>
      <c r="BE84" s="174">
        <v>2025.0</v>
      </c>
      <c r="BF84" s="174">
        <v>2026.0</v>
      </c>
      <c r="BG84" s="174">
        <v>2027.0</v>
      </c>
      <c r="BH84" s="175">
        <v>2028.0</v>
      </c>
      <c r="BI84" s="176">
        <v>2029.0</v>
      </c>
      <c r="BJ84" s="94"/>
      <c r="BK84" s="94"/>
      <c r="BL84" s="94"/>
      <c r="BM84" s="94"/>
      <c r="BN84" s="1"/>
      <c r="BO84" s="95"/>
      <c r="BP84" s="95"/>
      <c r="BQ84" s="95"/>
      <c r="BR84" s="95"/>
      <c r="BS84" s="95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ht="19.5" customHeight="1">
      <c r="A85" s="1"/>
      <c r="B85" s="177" t="s">
        <v>103</v>
      </c>
      <c r="C85" s="99">
        <v>51450.0</v>
      </c>
      <c r="D85" s="99">
        <v>51502.0</v>
      </c>
      <c r="E85" s="99">
        <f t="shared" ref="E85:I85" si="155">E5</f>
        <v>59031.5924</v>
      </c>
      <c r="F85" s="99">
        <f t="shared" si="155"/>
        <v>67732.84912</v>
      </c>
      <c r="G85" s="99">
        <f t="shared" si="155"/>
        <v>77797.9505</v>
      </c>
      <c r="H85" s="99">
        <f t="shared" si="155"/>
        <v>89452.08348</v>
      </c>
      <c r="I85" s="99">
        <f t="shared" si="155"/>
        <v>103004</v>
      </c>
      <c r="J85" s="1"/>
      <c r="K85" s="99">
        <v>0.0</v>
      </c>
      <c r="L85" s="99">
        <v>0.0</v>
      </c>
      <c r="M85" s="99">
        <v>0.0</v>
      </c>
      <c r="N85" s="99">
        <v>0.0</v>
      </c>
      <c r="O85" s="99">
        <v>0.0</v>
      </c>
      <c r="P85" s="99">
        <v>0.0</v>
      </c>
      <c r="Q85" s="100">
        <v>0.0</v>
      </c>
      <c r="R85" s="1"/>
      <c r="S85" s="99">
        <v>0.0</v>
      </c>
      <c r="T85" s="99">
        <v>0.0</v>
      </c>
      <c r="U85" s="99">
        <v>0.0</v>
      </c>
      <c r="V85" s="99">
        <v>0.0</v>
      </c>
      <c r="W85" s="99">
        <v>0.0</v>
      </c>
      <c r="X85" s="99">
        <v>0.0</v>
      </c>
      <c r="Y85" s="100">
        <v>0.0</v>
      </c>
      <c r="Z85" s="1"/>
      <c r="AA85" s="99">
        <v>0.0</v>
      </c>
      <c r="AB85" s="99">
        <v>0.0</v>
      </c>
      <c r="AC85" s="99">
        <v>0.0</v>
      </c>
      <c r="AD85" s="99">
        <v>0.0</v>
      </c>
      <c r="AE85" s="99">
        <v>0.0</v>
      </c>
      <c r="AF85" s="99">
        <v>0.0</v>
      </c>
      <c r="AG85" s="100">
        <v>0.0</v>
      </c>
      <c r="AH85" s="1"/>
      <c r="AI85" s="171">
        <f t="shared" ref="AI85:AO85" si="156">AI43</f>
        <v>134.2</v>
      </c>
      <c r="AJ85" s="171">
        <f t="shared" si="156"/>
        <v>134.2</v>
      </c>
      <c r="AK85" s="171">
        <f t="shared" si="156"/>
        <v>141.9</v>
      </c>
      <c r="AL85" s="171">
        <f t="shared" si="156"/>
        <v>148.555</v>
      </c>
      <c r="AM85" s="171">
        <f t="shared" si="156"/>
        <v>155.26775</v>
      </c>
      <c r="AN85" s="171">
        <f t="shared" si="156"/>
        <v>162.0411375</v>
      </c>
      <c r="AO85" s="171">
        <f t="shared" si="156"/>
        <v>168.8781944</v>
      </c>
      <c r="AP85" s="1"/>
      <c r="AQ85" s="159">
        <f t="shared" ref="AQ85:AW85" si="157">C85+K85+S85+AI85</f>
        <v>51584.2</v>
      </c>
      <c r="AR85" s="159">
        <f t="shared" si="157"/>
        <v>51636.2</v>
      </c>
      <c r="AS85" s="159">
        <f t="shared" si="157"/>
        <v>59173.4924</v>
      </c>
      <c r="AT85" s="159">
        <f t="shared" si="157"/>
        <v>67881.40412</v>
      </c>
      <c r="AU85" s="159">
        <f t="shared" si="157"/>
        <v>77953.21825</v>
      </c>
      <c r="AV85" s="159">
        <f t="shared" si="157"/>
        <v>89614.12462</v>
      </c>
      <c r="AW85" s="159">
        <f t="shared" si="157"/>
        <v>103172.8782</v>
      </c>
      <c r="AX85" s="178" t="s">
        <v>104</v>
      </c>
      <c r="BJ85" s="58"/>
      <c r="BK85" s="58"/>
      <c r="BL85" s="58"/>
      <c r="BM85" s="58"/>
      <c r="BN85" s="1"/>
      <c r="BO85" s="103"/>
      <c r="BP85" s="103"/>
      <c r="BQ85" s="103"/>
      <c r="BR85" s="103"/>
      <c r="BS85" s="103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ht="19.5" customHeight="1">
      <c r="A86" s="1"/>
      <c r="B86" s="177" t="s">
        <v>105</v>
      </c>
      <c r="C86" s="99">
        <v>0.0</v>
      </c>
      <c r="D86" s="99">
        <v>0.0</v>
      </c>
      <c r="E86" s="99">
        <f t="shared" ref="E86:I86" si="158">E27-E27</f>
        <v>0</v>
      </c>
      <c r="F86" s="99">
        <f t="shared" si="158"/>
        <v>0</v>
      </c>
      <c r="G86" s="99">
        <f t="shared" si="158"/>
        <v>0</v>
      </c>
      <c r="H86" s="99">
        <f t="shared" si="158"/>
        <v>0</v>
      </c>
      <c r="I86" s="99">
        <f t="shared" si="158"/>
        <v>0</v>
      </c>
      <c r="J86" s="1"/>
      <c r="K86" s="99">
        <v>27500.0</v>
      </c>
      <c r="L86" s="99">
        <v>28089.768110344827</v>
      </c>
      <c r="M86" s="99">
        <v>33145.92637020689</v>
      </c>
      <c r="N86" s="99">
        <v>39112.19311684413</v>
      </c>
      <c r="O86" s="99">
        <v>46152.38787787607</v>
      </c>
      <c r="P86" s="99">
        <v>54459.81769589376</v>
      </c>
      <c r="Q86" s="100">
        <v>64262.58488115464</v>
      </c>
      <c r="R86" s="1"/>
      <c r="S86" s="99">
        <v>0.0</v>
      </c>
      <c r="T86" s="99">
        <v>0.0</v>
      </c>
      <c r="U86" s="99">
        <v>0.0</v>
      </c>
      <c r="V86" s="99">
        <v>0.0</v>
      </c>
      <c r="W86" s="99">
        <v>0.0</v>
      </c>
      <c r="X86" s="99">
        <v>0.0</v>
      </c>
      <c r="Y86" s="100">
        <v>0.0</v>
      </c>
      <c r="Z86" s="1"/>
      <c r="AA86" s="99">
        <v>0.0</v>
      </c>
      <c r="AB86" s="99">
        <v>0.0</v>
      </c>
      <c r="AC86" s="99">
        <v>0.0</v>
      </c>
      <c r="AD86" s="99">
        <v>0.0</v>
      </c>
      <c r="AE86" s="99">
        <v>0.0</v>
      </c>
      <c r="AF86" s="99">
        <v>0.0</v>
      </c>
      <c r="AG86" s="100">
        <v>0.0</v>
      </c>
      <c r="AH86" s="1"/>
      <c r="AI86" s="171">
        <f t="shared" ref="AI86:AO86" si="159">AI44</f>
        <v>1210</v>
      </c>
      <c r="AJ86" s="171">
        <f t="shared" si="159"/>
        <v>1210</v>
      </c>
      <c r="AK86" s="171">
        <f t="shared" si="159"/>
        <v>1320</v>
      </c>
      <c r="AL86" s="171">
        <f t="shared" si="159"/>
        <v>1320</v>
      </c>
      <c r="AM86" s="171">
        <f t="shared" si="159"/>
        <v>1320</v>
      </c>
      <c r="AN86" s="171">
        <f t="shared" si="159"/>
        <v>1320</v>
      </c>
      <c r="AO86" s="171">
        <f t="shared" si="159"/>
        <v>1320</v>
      </c>
      <c r="AP86" s="1"/>
      <c r="AQ86" s="159">
        <f t="shared" ref="AQ86:AW86" si="160">C86+K86+S86+AI86</f>
        <v>28710</v>
      </c>
      <c r="AR86" s="159">
        <f t="shared" si="160"/>
        <v>29299.76811</v>
      </c>
      <c r="AS86" s="159">
        <f t="shared" si="160"/>
        <v>34465.92637</v>
      </c>
      <c r="AT86" s="159">
        <f t="shared" si="160"/>
        <v>40432.19312</v>
      </c>
      <c r="AU86" s="159">
        <f t="shared" si="160"/>
        <v>47472.38788</v>
      </c>
      <c r="AV86" s="159">
        <f t="shared" si="160"/>
        <v>55779.8177</v>
      </c>
      <c r="AW86" s="159">
        <f t="shared" si="160"/>
        <v>65582.58488</v>
      </c>
      <c r="AX86" s="172" t="s">
        <v>7</v>
      </c>
      <c r="AY86" s="179">
        <f t="shared" ref="AY86:BC86" si="161">E42</f>
        <v>59308.19868</v>
      </c>
      <c r="AZ86" s="179">
        <f t="shared" si="161"/>
        <v>68315.2941</v>
      </c>
      <c r="BA86" s="179">
        <f t="shared" si="161"/>
        <v>78690.47171</v>
      </c>
      <c r="BB86" s="179">
        <f t="shared" si="161"/>
        <v>90641.55608</v>
      </c>
      <c r="BC86" s="179">
        <f t="shared" si="161"/>
        <v>104407.9464</v>
      </c>
      <c r="BD86" s="180" t="s">
        <v>7</v>
      </c>
      <c r="BE86" s="181">
        <f t="shared" ref="BE86:BI86" si="162">M42+U42+AC42+AK42</f>
        <v>92577.56153</v>
      </c>
      <c r="BF86" s="181">
        <f t="shared" si="162"/>
        <v>110618.7262</v>
      </c>
      <c r="BG86" s="181">
        <f t="shared" si="162"/>
        <v>133494.3645</v>
      </c>
      <c r="BH86" s="181">
        <f t="shared" si="162"/>
        <v>163861.3499</v>
      </c>
      <c r="BI86" s="181">
        <f t="shared" si="162"/>
        <v>203268.6853</v>
      </c>
      <c r="BJ86" s="58"/>
      <c r="BK86" s="58"/>
      <c r="BL86" s="58"/>
      <c r="BM86" s="58"/>
      <c r="BN86" s="1"/>
      <c r="BO86" s="103"/>
      <c r="BP86" s="103"/>
      <c r="BQ86" s="103"/>
      <c r="BR86" s="103"/>
      <c r="BS86" s="103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ht="19.5" customHeight="1">
      <c r="A87" s="1"/>
      <c r="B87" s="177" t="s">
        <v>106</v>
      </c>
      <c r="C87" s="99">
        <v>0.0</v>
      </c>
      <c r="D87" s="99">
        <v>0.0</v>
      </c>
      <c r="E87" s="99">
        <f t="shared" ref="E87:I87" si="163">-E24+E24</f>
        <v>0</v>
      </c>
      <c r="F87" s="99">
        <f t="shared" si="163"/>
        <v>0</v>
      </c>
      <c r="G87" s="99">
        <f t="shared" si="163"/>
        <v>0</v>
      </c>
      <c r="H87" s="99">
        <f t="shared" si="163"/>
        <v>0</v>
      </c>
      <c r="I87" s="99">
        <f t="shared" si="163"/>
        <v>0</v>
      </c>
      <c r="J87" s="1"/>
      <c r="K87" s="99">
        <v>15000.0</v>
      </c>
      <c r="L87" s="99">
        <v>15125.259751724137</v>
      </c>
      <c r="M87" s="99">
        <v>17999.05910455172</v>
      </c>
      <c r="N87" s="99">
        <v>21418.880334416546</v>
      </c>
      <c r="O87" s="99">
        <v>25488.46759795569</v>
      </c>
      <c r="P87" s="99">
        <v>30331.27644156727</v>
      </c>
      <c r="Q87" s="100">
        <v>36094.21896546505</v>
      </c>
      <c r="R87" s="1"/>
      <c r="S87" s="99">
        <v>0.0</v>
      </c>
      <c r="T87" s="99">
        <v>0.0</v>
      </c>
      <c r="U87" s="99">
        <v>0.0</v>
      </c>
      <c r="V87" s="99">
        <v>0.0</v>
      </c>
      <c r="W87" s="99">
        <v>0.0</v>
      </c>
      <c r="X87" s="99">
        <v>0.0</v>
      </c>
      <c r="Y87" s="100">
        <v>0.0</v>
      </c>
      <c r="Z87" s="1"/>
      <c r="AA87" s="99">
        <v>0.0</v>
      </c>
      <c r="AB87" s="99">
        <v>0.0</v>
      </c>
      <c r="AC87" s="99">
        <v>0.0</v>
      </c>
      <c r="AD87" s="99">
        <v>0.0</v>
      </c>
      <c r="AE87" s="99">
        <v>0.0</v>
      </c>
      <c r="AF87" s="99">
        <v>0.0</v>
      </c>
      <c r="AG87" s="100">
        <v>0.0</v>
      </c>
      <c r="AH87" s="1"/>
      <c r="AI87" s="171">
        <f t="shared" ref="AI87:AO87" si="164">AI45</f>
        <v>1178.1</v>
      </c>
      <c r="AJ87" s="171">
        <f t="shared" si="164"/>
        <v>1178.1</v>
      </c>
      <c r="AK87" s="171">
        <f t="shared" si="164"/>
        <v>1300.2</v>
      </c>
      <c r="AL87" s="171">
        <f t="shared" si="164"/>
        <v>1421.2</v>
      </c>
      <c r="AM87" s="171">
        <f t="shared" si="164"/>
        <v>1542.2</v>
      </c>
      <c r="AN87" s="171">
        <f t="shared" si="164"/>
        <v>1663.2</v>
      </c>
      <c r="AO87" s="171">
        <f t="shared" si="164"/>
        <v>1784.2</v>
      </c>
      <c r="AP87" s="1"/>
      <c r="AQ87" s="159">
        <f t="shared" ref="AQ87:AW87" si="165">C87+K87+S87+AI87</f>
        <v>16178.1</v>
      </c>
      <c r="AR87" s="159">
        <f t="shared" si="165"/>
        <v>16303.35975</v>
      </c>
      <c r="AS87" s="159">
        <f t="shared" si="165"/>
        <v>19299.2591</v>
      </c>
      <c r="AT87" s="159">
        <f t="shared" si="165"/>
        <v>22840.08033</v>
      </c>
      <c r="AU87" s="159">
        <f t="shared" si="165"/>
        <v>27030.6676</v>
      </c>
      <c r="AV87" s="159">
        <f t="shared" si="165"/>
        <v>31994.47644</v>
      </c>
      <c r="AW87" s="159">
        <f t="shared" si="165"/>
        <v>37878.41897</v>
      </c>
      <c r="AX87" s="172" t="s">
        <v>107</v>
      </c>
      <c r="AY87" s="179">
        <f t="shared" ref="AY87:BC87" si="166">E71</f>
        <v>24081.59287</v>
      </c>
      <c r="AZ87" s="179">
        <f t="shared" si="166"/>
        <v>29471.39299</v>
      </c>
      <c r="BA87" s="179">
        <f t="shared" si="166"/>
        <v>36048.44447</v>
      </c>
      <c r="BB87" s="179">
        <f t="shared" si="166"/>
        <v>44020.15254</v>
      </c>
      <c r="BC87" s="179">
        <f t="shared" si="166"/>
        <v>53627.84215</v>
      </c>
      <c r="BD87" s="180" t="s">
        <v>107</v>
      </c>
      <c r="BE87" s="181">
        <f t="shared" ref="BE87:BI87" si="167">M71+U71+AC71+AK71</f>
        <v>21584.8153</v>
      </c>
      <c r="BF87" s="181">
        <f t="shared" si="167"/>
        <v>32251.66626</v>
      </c>
      <c r="BG87" s="181">
        <f t="shared" si="167"/>
        <v>46766.62193</v>
      </c>
      <c r="BH87" s="181">
        <f t="shared" si="167"/>
        <v>67628.53713</v>
      </c>
      <c r="BI87" s="181">
        <f t="shared" si="167"/>
        <v>96018.24827</v>
      </c>
      <c r="BJ87" s="58"/>
      <c r="BK87" s="58"/>
      <c r="BL87" s="58"/>
      <c r="BM87" s="58"/>
      <c r="BN87" s="1"/>
      <c r="BO87" s="103"/>
      <c r="BP87" s="103"/>
      <c r="BQ87" s="103"/>
      <c r="BR87" s="103"/>
      <c r="BS87" s="103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ht="19.5" customHeight="1">
      <c r="A88" s="1"/>
      <c r="B88" s="177" t="s">
        <v>108</v>
      </c>
      <c r="C88" s="99">
        <v>0.0</v>
      </c>
      <c r="D88" s="99">
        <v>0.0</v>
      </c>
      <c r="E88" s="99">
        <f t="shared" ref="E88:I88" si="168">E27-E27</f>
        <v>0</v>
      </c>
      <c r="F88" s="99">
        <f t="shared" si="168"/>
        <v>0</v>
      </c>
      <c r="G88" s="99">
        <f t="shared" si="168"/>
        <v>0</v>
      </c>
      <c r="H88" s="99">
        <f t="shared" si="168"/>
        <v>0</v>
      </c>
      <c r="I88" s="99">
        <f t="shared" si="168"/>
        <v>0</v>
      </c>
      <c r="J88" s="1"/>
      <c r="K88" s="99">
        <v>0.0</v>
      </c>
      <c r="L88" s="99">
        <v>0.0</v>
      </c>
      <c r="M88" s="99">
        <v>0.0</v>
      </c>
      <c r="N88" s="99">
        <v>0.0</v>
      </c>
      <c r="O88" s="99">
        <v>0.0</v>
      </c>
      <c r="P88" s="99">
        <v>0.0</v>
      </c>
      <c r="Q88" s="100">
        <v>0.0</v>
      </c>
      <c r="R88" s="1"/>
      <c r="S88" s="99">
        <v>23700.0</v>
      </c>
      <c r="T88" s="99">
        <v>24565.0</v>
      </c>
      <c r="U88" s="99">
        <v>29797.345</v>
      </c>
      <c r="V88" s="99">
        <v>37246.68125</v>
      </c>
      <c r="W88" s="99">
        <v>47675.752</v>
      </c>
      <c r="X88" s="99">
        <v>63408.75016</v>
      </c>
      <c r="Y88" s="100">
        <v>85601.81271600001</v>
      </c>
      <c r="Z88" s="1"/>
      <c r="AA88" s="99">
        <v>0.0</v>
      </c>
      <c r="AB88" s="99">
        <v>0.0</v>
      </c>
      <c r="AC88" s="99">
        <v>0.0</v>
      </c>
      <c r="AD88" s="99">
        <v>0.0</v>
      </c>
      <c r="AE88" s="99">
        <v>0.0</v>
      </c>
      <c r="AF88" s="99">
        <v>0.0</v>
      </c>
      <c r="AG88" s="100">
        <v>0.0</v>
      </c>
      <c r="AH88" s="1"/>
      <c r="AI88" s="171">
        <f t="shared" ref="AI88:AO88" si="169">AI46</f>
        <v>0</v>
      </c>
      <c r="AJ88" s="171">
        <f t="shared" si="169"/>
        <v>0</v>
      </c>
      <c r="AK88" s="171">
        <f t="shared" si="169"/>
        <v>0</v>
      </c>
      <c r="AL88" s="171">
        <f t="shared" si="169"/>
        <v>0</v>
      </c>
      <c r="AM88" s="171">
        <f t="shared" si="169"/>
        <v>0</v>
      </c>
      <c r="AN88" s="171">
        <f t="shared" si="169"/>
        <v>0</v>
      </c>
      <c r="AO88" s="171">
        <f t="shared" si="169"/>
        <v>0</v>
      </c>
      <c r="AP88" s="1"/>
      <c r="AQ88" s="159">
        <f t="shared" ref="AQ88:AW88" si="170">C88+K88+S88+AI88</f>
        <v>23700</v>
      </c>
      <c r="AR88" s="159">
        <f t="shared" si="170"/>
        <v>24565</v>
      </c>
      <c r="AS88" s="159">
        <f t="shared" si="170"/>
        <v>29797.345</v>
      </c>
      <c r="AT88" s="159">
        <f t="shared" si="170"/>
        <v>37246.68125</v>
      </c>
      <c r="AU88" s="159">
        <f t="shared" si="170"/>
        <v>47675.752</v>
      </c>
      <c r="AV88" s="159">
        <f t="shared" si="170"/>
        <v>63408.75016</v>
      </c>
      <c r="AW88" s="159">
        <f t="shared" si="170"/>
        <v>85601.81272</v>
      </c>
      <c r="AX88" s="172" t="s">
        <v>81</v>
      </c>
      <c r="AY88" s="179">
        <f t="shared" ref="AY88:BC88" si="171">E68</f>
        <v>4590.198573</v>
      </c>
      <c r="AZ88" s="179">
        <f t="shared" si="171"/>
        <v>5666.472597</v>
      </c>
      <c r="BA88" s="179">
        <f t="shared" si="171"/>
        <v>6969.402594</v>
      </c>
      <c r="BB88" s="179">
        <f t="shared" si="171"/>
        <v>8550.639893</v>
      </c>
      <c r="BC88" s="179">
        <f t="shared" si="171"/>
        <v>10458.41829</v>
      </c>
      <c r="BD88" s="180" t="s">
        <v>81</v>
      </c>
      <c r="BE88" s="181">
        <f t="shared" ref="BE88:BI88" si="172">M68+U68+AC68+AK68</f>
        <v>3880.908506</v>
      </c>
      <c r="BF88" s="181">
        <f t="shared" si="172"/>
        <v>5976.171067</v>
      </c>
      <c r="BG88" s="181">
        <f t="shared" si="172"/>
        <v>8838.936386</v>
      </c>
      <c r="BH88" s="181">
        <f t="shared" si="172"/>
        <v>12968.85723</v>
      </c>
      <c r="BI88" s="181">
        <f t="shared" si="172"/>
        <v>18601.97609</v>
      </c>
      <c r="BJ88" s="58"/>
      <c r="BK88" s="58"/>
      <c r="BL88" s="58"/>
      <c r="BM88" s="58"/>
      <c r="BN88" s="1"/>
      <c r="BO88" s="103"/>
      <c r="BP88" s="103"/>
      <c r="BQ88" s="103"/>
      <c r="BR88" s="103"/>
      <c r="BS88" s="103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ht="19.5" customHeight="1">
      <c r="A89" s="1"/>
      <c r="B89" s="177" t="s">
        <v>109</v>
      </c>
      <c r="C89" s="99">
        <v>0.0</v>
      </c>
      <c r="D89" s="99">
        <v>0.0</v>
      </c>
      <c r="E89" s="99">
        <f t="shared" ref="E89:I89" si="173">E23-E23</f>
        <v>0</v>
      </c>
      <c r="F89" s="99">
        <f t="shared" si="173"/>
        <v>0</v>
      </c>
      <c r="G89" s="99">
        <f t="shared" si="173"/>
        <v>0</v>
      </c>
      <c r="H89" s="99">
        <f t="shared" si="173"/>
        <v>0</v>
      </c>
      <c r="I89" s="99">
        <f t="shared" si="173"/>
        <v>0</v>
      </c>
      <c r="J89" s="1"/>
      <c r="K89" s="99">
        <v>0.0</v>
      </c>
      <c r="L89" s="99">
        <v>0.0</v>
      </c>
      <c r="M89" s="99">
        <v>0.0</v>
      </c>
      <c r="N89" s="99">
        <v>0.0</v>
      </c>
      <c r="O89" s="99">
        <v>0.0</v>
      </c>
      <c r="P89" s="99">
        <v>0.0</v>
      </c>
      <c r="Q89" s="100">
        <v>0.0</v>
      </c>
      <c r="R89" s="1"/>
      <c r="S89" s="99">
        <v>0.0</v>
      </c>
      <c r="T89" s="99">
        <v>0.0</v>
      </c>
      <c r="U89" s="99">
        <v>0.0</v>
      </c>
      <c r="V89" s="99">
        <v>0.0</v>
      </c>
      <c r="W89" s="99">
        <v>0.0</v>
      </c>
      <c r="X89" s="99">
        <v>0.0</v>
      </c>
      <c r="Y89" s="100">
        <v>0.0</v>
      </c>
      <c r="Z89" s="1"/>
      <c r="AA89" s="99">
        <v>8500.0</v>
      </c>
      <c r="AB89" s="99">
        <v>7911.8422222222225</v>
      </c>
      <c r="AC89" s="99">
        <v>8873.131052222223</v>
      </c>
      <c r="AD89" s="99">
        <v>9951.216475067222</v>
      </c>
      <c r="AE89" s="99">
        <v>11160.28927678789</v>
      </c>
      <c r="AF89" s="99">
        <v>12516.264423917617</v>
      </c>
      <c r="AG89" s="100">
        <v>14036.990551423607</v>
      </c>
      <c r="AH89" s="1"/>
      <c r="AI89" s="171">
        <f t="shared" ref="AI89:AO89" si="174">AI47</f>
        <v>0</v>
      </c>
      <c r="AJ89" s="171">
        <f t="shared" si="174"/>
        <v>0</v>
      </c>
      <c r="AK89" s="171">
        <f t="shared" si="174"/>
        <v>0</v>
      </c>
      <c r="AL89" s="171">
        <f t="shared" si="174"/>
        <v>0</v>
      </c>
      <c r="AM89" s="171">
        <f t="shared" si="174"/>
        <v>0</v>
      </c>
      <c r="AN89" s="171">
        <f t="shared" si="174"/>
        <v>0</v>
      </c>
      <c r="AO89" s="171">
        <f t="shared" si="174"/>
        <v>0</v>
      </c>
      <c r="AP89" s="1"/>
      <c r="AQ89" s="159">
        <f t="shared" ref="AQ89:AW89" si="175">C89+K89+S89+AI89</f>
        <v>0</v>
      </c>
      <c r="AR89" s="159">
        <f t="shared" si="175"/>
        <v>0</v>
      </c>
      <c r="AS89" s="159">
        <f t="shared" si="175"/>
        <v>0</v>
      </c>
      <c r="AT89" s="159">
        <f t="shared" si="175"/>
        <v>0</v>
      </c>
      <c r="AU89" s="159">
        <f t="shared" si="175"/>
        <v>0</v>
      </c>
      <c r="AV89" s="159">
        <f t="shared" si="175"/>
        <v>0</v>
      </c>
      <c r="AW89" s="159">
        <f t="shared" si="175"/>
        <v>0</v>
      </c>
      <c r="AX89" s="172" t="s">
        <v>110</v>
      </c>
      <c r="AY89" s="179">
        <f t="shared" ref="AY89:BC89" si="176">E69</f>
        <v>18360.79429</v>
      </c>
      <c r="AZ89" s="179">
        <f t="shared" si="176"/>
        <v>22665.89039</v>
      </c>
      <c r="BA89" s="179">
        <f t="shared" si="176"/>
        <v>27877.61037</v>
      </c>
      <c r="BB89" s="179">
        <f t="shared" si="176"/>
        <v>34202.55957</v>
      </c>
      <c r="BC89" s="179">
        <f t="shared" si="176"/>
        <v>41833.67314</v>
      </c>
      <c r="BD89" s="180" t="s">
        <v>110</v>
      </c>
      <c r="BE89" s="181">
        <f t="shared" ref="BE89:BI89" si="177">M69+U69+AC69+AK69</f>
        <v>15523.63403</v>
      </c>
      <c r="BF89" s="181">
        <f t="shared" si="177"/>
        <v>23904.68427</v>
      </c>
      <c r="BG89" s="181">
        <f t="shared" si="177"/>
        <v>35355.74554</v>
      </c>
      <c r="BH89" s="181">
        <f t="shared" si="177"/>
        <v>51875.42893</v>
      </c>
      <c r="BI89" s="181">
        <f t="shared" si="177"/>
        <v>74407.90436</v>
      </c>
      <c r="BJ89" s="58"/>
      <c r="BK89" s="58"/>
      <c r="BL89" s="58"/>
      <c r="BM89" s="58"/>
      <c r="BN89" s="1"/>
      <c r="BO89" s="103"/>
      <c r="BP89" s="103"/>
      <c r="BQ89" s="103"/>
      <c r="BR89" s="103"/>
      <c r="BS89" s="103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ht="19.5" customHeight="1">
      <c r="A90" s="1"/>
      <c r="B90" s="177" t="s">
        <v>111</v>
      </c>
      <c r="C90" s="99">
        <v>4250.0</v>
      </c>
      <c r="D90" s="99">
        <v>2270.0</v>
      </c>
      <c r="E90" s="99">
        <f>E62+E150-D150</f>
        <v>289.8</v>
      </c>
      <c r="F90" s="99">
        <f t="shared" ref="F90:I90" si="178">(E90+M90+U90)-SUM(F23:F33)</f>
        <v>-1050.630172</v>
      </c>
      <c r="G90" s="99">
        <f t="shared" si="178"/>
        <v>-1201.924812</v>
      </c>
      <c r="H90" s="99">
        <f t="shared" si="178"/>
        <v>-694.7723052</v>
      </c>
      <c r="I90" s="99">
        <f t="shared" si="178"/>
        <v>-237.8967882</v>
      </c>
      <c r="J90" s="1"/>
      <c r="K90" s="99">
        <v>7450.0</v>
      </c>
      <c r="L90" s="99">
        <v>7503.44827586207</v>
      </c>
      <c r="M90" s="99">
        <v>941.3448275862074</v>
      </c>
      <c r="N90" s="99">
        <v>1025.9843103448275</v>
      </c>
      <c r="O90" s="99">
        <v>1118.5655163793108</v>
      </c>
      <c r="P90" s="99">
        <v>1219.8538956422435</v>
      </c>
      <c r="Q90" s="100">
        <v>1330.6898633508408</v>
      </c>
      <c r="R90" s="1"/>
      <c r="S90" s="99">
        <v>1255.0</v>
      </c>
      <c r="T90" s="99">
        <v>553.0</v>
      </c>
      <c r="U90" s="99">
        <v>607.98</v>
      </c>
      <c r="V90" s="99">
        <v>1840.1888000000004</v>
      </c>
      <c r="W90" s="99">
        <v>2533.8281279999997</v>
      </c>
      <c r="X90" s="99">
        <v>2510.0998156799997</v>
      </c>
      <c r="Y90" s="100">
        <v>2010.7058046208003</v>
      </c>
      <c r="Z90" s="1"/>
      <c r="AA90" s="99">
        <v>1510.0</v>
      </c>
      <c r="AB90" s="99">
        <v>1354.81533333333</v>
      </c>
      <c r="AC90" s="99">
        <v>1015.6000000000001</v>
      </c>
      <c r="AD90" s="99">
        <v>1016.2240000000002</v>
      </c>
      <c r="AE90" s="99">
        <v>1016.8729599999997</v>
      </c>
      <c r="AF90" s="99">
        <v>1017.5478783999997</v>
      </c>
      <c r="AG90" s="100">
        <v>1018.2497935359997</v>
      </c>
      <c r="AH90" s="1"/>
      <c r="AI90" s="158">
        <v>0.0</v>
      </c>
      <c r="AJ90" s="158">
        <v>0.0</v>
      </c>
      <c r="AK90" s="158">
        <v>0.0</v>
      </c>
      <c r="AL90" s="158">
        <v>0.0</v>
      </c>
      <c r="AM90" s="158">
        <v>0.0</v>
      </c>
      <c r="AN90" s="158">
        <v>0.0</v>
      </c>
      <c r="AO90" s="158">
        <v>0.0</v>
      </c>
      <c r="AP90" s="1"/>
      <c r="AQ90" s="159">
        <f t="shared" ref="AQ90:AW90" si="179">C90+K90+S90+AI90</f>
        <v>12955</v>
      </c>
      <c r="AR90" s="159">
        <f t="shared" si="179"/>
        <v>10326.44828</v>
      </c>
      <c r="AS90" s="159">
        <f t="shared" si="179"/>
        <v>1839.124828</v>
      </c>
      <c r="AT90" s="159">
        <f t="shared" si="179"/>
        <v>1815.542938</v>
      </c>
      <c r="AU90" s="159">
        <f t="shared" si="179"/>
        <v>2450.468832</v>
      </c>
      <c r="AV90" s="159">
        <f t="shared" si="179"/>
        <v>3035.181406</v>
      </c>
      <c r="AW90" s="159">
        <f t="shared" si="179"/>
        <v>3103.49888</v>
      </c>
      <c r="AX90" s="178" t="s">
        <v>112</v>
      </c>
      <c r="BJ90" s="58"/>
      <c r="BK90" s="58"/>
      <c r="BL90" s="58"/>
      <c r="BM90" s="58"/>
      <c r="BN90" s="1"/>
      <c r="BO90" s="103"/>
      <c r="BP90" s="103"/>
      <c r="BQ90" s="103"/>
      <c r="BR90" s="103"/>
      <c r="BS90" s="103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ht="19.5" customHeight="1">
      <c r="A91" s="1"/>
      <c r="B91" s="182" t="s">
        <v>113</v>
      </c>
      <c r="C91" s="84">
        <f t="shared" ref="C91:I91" si="180">SUM(C92:C95)</f>
        <v>-32366.8</v>
      </c>
      <c r="D91" s="84">
        <f t="shared" si="180"/>
        <v>-33388.76667</v>
      </c>
      <c r="E91" s="84">
        <f t="shared" si="180"/>
        <v>-39271.39938</v>
      </c>
      <c r="F91" s="84">
        <f t="shared" si="180"/>
        <v>-43877.93036</v>
      </c>
      <c r="G91" s="84">
        <f t="shared" si="180"/>
        <v>-48941.79108</v>
      </c>
      <c r="H91" s="84">
        <f t="shared" si="180"/>
        <v>-54463.51671</v>
      </c>
      <c r="I91" s="84">
        <f t="shared" si="180"/>
        <v>-60489.32565</v>
      </c>
      <c r="J91" s="1"/>
      <c r="K91" s="84">
        <f t="shared" ref="K91:Q91" si="181">SUM(K92:K95)</f>
        <v>-37538.2</v>
      </c>
      <c r="L91" s="84">
        <f t="shared" si="181"/>
        <v>-37818.69813</v>
      </c>
      <c r="M91" s="84">
        <f t="shared" si="181"/>
        <v>-37592.63856</v>
      </c>
      <c r="N91" s="84">
        <f t="shared" si="181"/>
        <v>-42777.53715</v>
      </c>
      <c r="O91" s="84">
        <f t="shared" si="181"/>
        <v>-48766.50905</v>
      </c>
      <c r="P91" s="84">
        <f t="shared" si="181"/>
        <v>-55691.36276</v>
      </c>
      <c r="Q91" s="86">
        <f t="shared" si="181"/>
        <v>-63706.12147</v>
      </c>
      <c r="R91" s="1"/>
      <c r="S91" s="84">
        <f t="shared" ref="S91:Y91" si="182">SUM(S92:S95)</f>
        <v>-22686.2</v>
      </c>
      <c r="T91" s="84">
        <f t="shared" si="182"/>
        <v>-23522.2</v>
      </c>
      <c r="U91" s="84">
        <f t="shared" si="182"/>
        <v>-26410.649</v>
      </c>
      <c r="V91" s="84">
        <f t="shared" si="182"/>
        <v>-30001.26345</v>
      </c>
      <c r="W91" s="84">
        <f t="shared" si="182"/>
        <v>-34493.22134</v>
      </c>
      <c r="X91" s="84">
        <f t="shared" si="182"/>
        <v>-40407.5217</v>
      </c>
      <c r="Y91" s="86">
        <f t="shared" si="182"/>
        <v>-48188.94924</v>
      </c>
      <c r="Z91" s="1"/>
      <c r="AA91" s="84">
        <f t="shared" ref="AA91:AG91" si="183">SUM(AA92:AA95)</f>
        <v>-6504</v>
      </c>
      <c r="AB91" s="84">
        <f t="shared" si="183"/>
        <v>-6486.878556</v>
      </c>
      <c r="AC91" s="84">
        <f t="shared" si="183"/>
        <v>-6797.305535</v>
      </c>
      <c r="AD91" s="84">
        <f t="shared" si="183"/>
        <v>-7288.879653</v>
      </c>
      <c r="AE91" s="84">
        <f t="shared" si="183"/>
        <v>-7824.644413</v>
      </c>
      <c r="AF91" s="84">
        <f t="shared" si="183"/>
        <v>-8409.223237</v>
      </c>
      <c r="AG91" s="86">
        <f t="shared" si="183"/>
        <v>-9047.76332</v>
      </c>
      <c r="AH91" s="1"/>
      <c r="AI91" s="171">
        <f t="shared" ref="AI91:AO91" si="184">SUM(AI92:AI95)</f>
        <v>-2522.3</v>
      </c>
      <c r="AJ91" s="171">
        <f t="shared" si="184"/>
        <v>-2522.3</v>
      </c>
      <c r="AK91" s="171">
        <f t="shared" si="184"/>
        <v>-2762.1</v>
      </c>
      <c r="AL91" s="171">
        <f t="shared" si="184"/>
        <v>-2889.755</v>
      </c>
      <c r="AM91" s="171">
        <f t="shared" si="184"/>
        <v>-3017.46775</v>
      </c>
      <c r="AN91" s="171">
        <f t="shared" si="184"/>
        <v>-3145.241138</v>
      </c>
      <c r="AO91" s="171">
        <f t="shared" si="184"/>
        <v>-3273.078194</v>
      </c>
      <c r="AP91" s="1"/>
      <c r="AQ91" s="159">
        <f t="shared" ref="AQ91:AW91" si="185">C91+K91+S91+AI91</f>
        <v>-95113.5</v>
      </c>
      <c r="AR91" s="159">
        <f t="shared" si="185"/>
        <v>-97251.96479</v>
      </c>
      <c r="AS91" s="159">
        <f t="shared" si="185"/>
        <v>-106036.7869</v>
      </c>
      <c r="AT91" s="159">
        <f t="shared" si="185"/>
        <v>-119546.486</v>
      </c>
      <c r="AU91" s="159">
        <f t="shared" si="185"/>
        <v>-135218.9892</v>
      </c>
      <c r="AV91" s="159">
        <f t="shared" si="185"/>
        <v>-153707.6423</v>
      </c>
      <c r="AW91" s="159">
        <f t="shared" si="185"/>
        <v>-175657.4746</v>
      </c>
      <c r="AX91" s="172" t="s">
        <v>114</v>
      </c>
      <c r="AY91" s="179">
        <f t="shared" ref="AY91:BC91" si="186">E102</f>
        <v>58</v>
      </c>
      <c r="AZ91" s="179">
        <f t="shared" si="186"/>
        <v>109</v>
      </c>
      <c r="BA91" s="179">
        <f t="shared" si="186"/>
        <v>109</v>
      </c>
      <c r="BB91" s="179">
        <f t="shared" si="186"/>
        <v>109</v>
      </c>
      <c r="BC91" s="179">
        <f t="shared" si="186"/>
        <v>109</v>
      </c>
      <c r="BD91" s="180" t="s">
        <v>114</v>
      </c>
      <c r="BE91" s="181">
        <f t="shared" ref="BE91:BI91" si="187">M102+U102+AC102+AK102</f>
        <v>1263.712276</v>
      </c>
      <c r="BF91" s="181">
        <f t="shared" si="187"/>
        <v>1263.712276</v>
      </c>
      <c r="BG91" s="181">
        <f t="shared" si="187"/>
        <v>1263.712276</v>
      </c>
      <c r="BH91" s="181">
        <f t="shared" si="187"/>
        <v>1263.712276</v>
      </c>
      <c r="BI91" s="181">
        <f t="shared" si="187"/>
        <v>1263.712276</v>
      </c>
      <c r="BJ91" s="94"/>
      <c r="BK91" s="94"/>
      <c r="BL91" s="94"/>
      <c r="BM91" s="94"/>
      <c r="BN91" s="1"/>
      <c r="BO91" s="95"/>
      <c r="BP91" s="95"/>
      <c r="BQ91" s="95"/>
      <c r="BR91" s="95"/>
      <c r="BS91" s="95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ht="19.5" customHeight="1">
      <c r="A92" s="1"/>
      <c r="B92" s="177" t="s">
        <v>115</v>
      </c>
      <c r="C92" s="99">
        <v>-21110.0</v>
      </c>
      <c r="D92" s="99">
        <v>-21096.07996666667</v>
      </c>
      <c r="E92" s="183">
        <f t="shared" ref="E92:I92" si="188">-(E49+E54)</f>
        <v>-23921.84476</v>
      </c>
      <c r="F92" s="183">
        <f t="shared" si="188"/>
        <v>-26917.15545</v>
      </c>
      <c r="G92" s="183">
        <f t="shared" si="188"/>
        <v>-30092.18478</v>
      </c>
      <c r="H92" s="183">
        <f t="shared" si="188"/>
        <v>-33457.71586</v>
      </c>
      <c r="I92" s="183">
        <f t="shared" si="188"/>
        <v>-37025.17882</v>
      </c>
      <c r="J92" s="1"/>
      <c r="K92" s="99">
        <v>-20600.0</v>
      </c>
      <c r="L92" s="99">
        <v>-20620.566767537217</v>
      </c>
      <c r="M92" s="99">
        <v>-23345.098310504487</v>
      </c>
      <c r="N92" s="99">
        <v>-26452.510841865416</v>
      </c>
      <c r="O92" s="99">
        <v>-29998.430597865452</v>
      </c>
      <c r="P92" s="99">
        <v>-34046.70133634591</v>
      </c>
      <c r="Q92" s="100">
        <v>-38670.60811601448</v>
      </c>
      <c r="R92" s="1"/>
      <c r="S92" s="99">
        <v>-16050.0</v>
      </c>
      <c r="T92" s="99">
        <v>-16255.0</v>
      </c>
      <c r="U92" s="99">
        <v>-17257.45</v>
      </c>
      <c r="V92" s="99">
        <v>-18321.947500000002</v>
      </c>
      <c r="W92" s="99">
        <v>-19452.348385</v>
      </c>
      <c r="X92" s="99">
        <v>-20652.749205550004</v>
      </c>
      <c r="Y92" s="100">
        <v>-21927.502269554505</v>
      </c>
      <c r="Z92" s="1"/>
      <c r="AA92" s="99">
        <v>-4980.0</v>
      </c>
      <c r="AB92" s="99">
        <v>-5012.757777777778</v>
      </c>
      <c r="AC92" s="99">
        <v>-5238.331877777778</v>
      </c>
      <c r="AD92" s="99">
        <v>-5474.056812277778</v>
      </c>
      <c r="AE92" s="99">
        <v>-5720.389368830277</v>
      </c>
      <c r="AF92" s="99">
        <v>-5977.806890427639</v>
      </c>
      <c r="AG92" s="100">
        <v>-6246.808200496882</v>
      </c>
      <c r="AH92" s="1"/>
      <c r="AI92" s="158">
        <v>0.0</v>
      </c>
      <c r="AJ92" s="158">
        <v>0.0</v>
      </c>
      <c r="AK92" s="158">
        <v>0.0</v>
      </c>
      <c r="AL92" s="158">
        <v>0.0</v>
      </c>
      <c r="AM92" s="158">
        <v>0.0</v>
      </c>
      <c r="AN92" s="158">
        <v>0.0</v>
      </c>
      <c r="AO92" s="158">
        <v>0.0</v>
      </c>
      <c r="AP92" s="1"/>
      <c r="AQ92" s="159">
        <f t="shared" ref="AQ92:AW92" si="189">C92+K92+S92+AI92</f>
        <v>-57760</v>
      </c>
      <c r="AR92" s="159">
        <f t="shared" si="189"/>
        <v>-57971.64673</v>
      </c>
      <c r="AS92" s="159">
        <f t="shared" si="189"/>
        <v>-64524.39308</v>
      </c>
      <c r="AT92" s="159">
        <f t="shared" si="189"/>
        <v>-71691.61379</v>
      </c>
      <c r="AU92" s="159">
        <f t="shared" si="189"/>
        <v>-79542.96376</v>
      </c>
      <c r="AV92" s="159">
        <f t="shared" si="189"/>
        <v>-88157.16641</v>
      </c>
      <c r="AW92" s="159">
        <f t="shared" si="189"/>
        <v>-97623.2892</v>
      </c>
      <c r="AX92" s="172" t="s">
        <v>116</v>
      </c>
      <c r="AY92" s="173">
        <f t="shared" ref="AY92:BC92" si="190">E91</f>
        <v>-39271.39938</v>
      </c>
      <c r="AZ92" s="173">
        <f t="shared" si="190"/>
        <v>-43877.93036</v>
      </c>
      <c r="BA92" s="173">
        <f t="shared" si="190"/>
        <v>-48941.79108</v>
      </c>
      <c r="BB92" s="173">
        <f t="shared" si="190"/>
        <v>-54463.51671</v>
      </c>
      <c r="BC92" s="173">
        <f t="shared" si="190"/>
        <v>-60489.32565</v>
      </c>
      <c r="BD92" s="180" t="s">
        <v>116</v>
      </c>
      <c r="BE92" s="181">
        <f t="shared" ref="BE92:BI92" si="191">M91+U91+AC91+AK91</f>
        <v>-73562.6931</v>
      </c>
      <c r="BF92" s="181">
        <f t="shared" si="191"/>
        <v>-82957.43525</v>
      </c>
      <c r="BG92" s="181">
        <f t="shared" si="191"/>
        <v>-94101.84255</v>
      </c>
      <c r="BH92" s="181">
        <f t="shared" si="191"/>
        <v>-107653.3488</v>
      </c>
      <c r="BI92" s="181">
        <f t="shared" si="191"/>
        <v>-124215.9122</v>
      </c>
      <c r="BJ92" s="58"/>
      <c r="BK92" s="58"/>
      <c r="BL92" s="58"/>
      <c r="BM92" s="58"/>
      <c r="BN92" s="1"/>
      <c r="BO92" s="103"/>
      <c r="BP92" s="103"/>
      <c r="BQ92" s="103"/>
      <c r="BR92" s="103"/>
      <c r="BS92" s="103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ht="19.5" customHeight="1">
      <c r="A93" s="1"/>
      <c r="B93" s="177" t="s">
        <v>117</v>
      </c>
      <c r="C93" s="99">
        <v>-3800.0</v>
      </c>
      <c r="D93" s="99">
        <v>-3767.0</v>
      </c>
      <c r="E93" s="183">
        <f t="shared" ref="E93:I93" si="192">-E56</f>
        <v>-4278.245011</v>
      </c>
      <c r="F93" s="183">
        <f t="shared" si="192"/>
        <v>-4548.903825</v>
      </c>
      <c r="G93" s="183">
        <f t="shared" si="192"/>
        <v>-4803.108534</v>
      </c>
      <c r="H93" s="183">
        <f t="shared" si="192"/>
        <v>-5029.617045</v>
      </c>
      <c r="I93" s="183">
        <f t="shared" si="192"/>
        <v>-5214.15131</v>
      </c>
      <c r="J93" s="1"/>
      <c r="K93" s="99">
        <v>-6800.0</v>
      </c>
      <c r="L93" s="99">
        <v>-6871.189430068967</v>
      </c>
      <c r="M93" s="99">
        <v>-7249.10484872276</v>
      </c>
      <c r="N93" s="99">
        <v>-7647.805615402512</v>
      </c>
      <c r="O93" s="99">
        <v>-8068.434924249649</v>
      </c>
      <c r="P93" s="99">
        <v>-8512.19884508338</v>
      </c>
      <c r="Q93" s="100">
        <v>-8980.369781562966</v>
      </c>
      <c r="R93" s="1"/>
      <c r="S93" s="99">
        <v>-4400.0</v>
      </c>
      <c r="T93" s="99">
        <v>-4700.0</v>
      </c>
      <c r="U93" s="99">
        <v>-5546.0</v>
      </c>
      <c r="V93" s="99">
        <v>-6544.28</v>
      </c>
      <c r="W93" s="99">
        <v>-7722.250399999999</v>
      </c>
      <c r="X93" s="99">
        <v>-9112.255471999999</v>
      </c>
      <c r="Y93" s="100">
        <v>-10934.706566399998</v>
      </c>
      <c r="Z93" s="1"/>
      <c r="AA93" s="99">
        <v>-360.0</v>
      </c>
      <c r="AB93" s="99">
        <v>-366.6666666666667</v>
      </c>
      <c r="AC93" s="99">
        <v>-399.66666666666674</v>
      </c>
      <c r="AD93" s="99">
        <v>-435.63666666666677</v>
      </c>
      <c r="AE93" s="99">
        <v>-474.8439666666668</v>
      </c>
      <c r="AF93" s="99">
        <v>-517.5799236666669</v>
      </c>
      <c r="AG93" s="100">
        <v>-564.162116796667</v>
      </c>
      <c r="AH93" s="1"/>
      <c r="AI93" s="158">
        <v>0.0</v>
      </c>
      <c r="AJ93" s="158">
        <v>0.0</v>
      </c>
      <c r="AK93" s="158">
        <v>0.0</v>
      </c>
      <c r="AL93" s="158">
        <v>0.0</v>
      </c>
      <c r="AM93" s="158">
        <v>0.0</v>
      </c>
      <c r="AN93" s="158">
        <v>0.0</v>
      </c>
      <c r="AO93" s="158">
        <v>0.0</v>
      </c>
      <c r="AP93" s="1"/>
      <c r="AQ93" s="159">
        <f t="shared" ref="AQ93:AW93" si="193">C93+K93+S93+AI93</f>
        <v>-15000</v>
      </c>
      <c r="AR93" s="159">
        <f t="shared" si="193"/>
        <v>-15338.18943</v>
      </c>
      <c r="AS93" s="159">
        <f t="shared" si="193"/>
        <v>-17073.34986</v>
      </c>
      <c r="AT93" s="159">
        <f t="shared" si="193"/>
        <v>-18740.98944</v>
      </c>
      <c r="AU93" s="159">
        <f t="shared" si="193"/>
        <v>-20593.79386</v>
      </c>
      <c r="AV93" s="159">
        <f t="shared" si="193"/>
        <v>-22654.07136</v>
      </c>
      <c r="AW93" s="159">
        <f t="shared" si="193"/>
        <v>-25129.22766</v>
      </c>
      <c r="AX93" s="172" t="s">
        <v>118</v>
      </c>
      <c r="AY93" s="173">
        <f t="shared" ref="AY93:BC93" si="194">E84</f>
        <v>59321.3924</v>
      </c>
      <c r="AZ93" s="173">
        <f t="shared" si="194"/>
        <v>66682.21895</v>
      </c>
      <c r="BA93" s="173">
        <f t="shared" si="194"/>
        <v>76596.02569</v>
      </c>
      <c r="BB93" s="173">
        <f t="shared" si="194"/>
        <v>88757.31118</v>
      </c>
      <c r="BC93" s="173">
        <f t="shared" si="194"/>
        <v>102766.1032</v>
      </c>
      <c r="BD93" s="180" t="s">
        <v>118</v>
      </c>
      <c r="BE93" s="181">
        <f t="shared" ref="BE93:BI93" si="195">M84+U84+AC84+AK84</f>
        <v>95142.48635</v>
      </c>
      <c r="BF93" s="181">
        <f t="shared" si="195"/>
        <v>114501.1233</v>
      </c>
      <c r="BG93" s="181">
        <f t="shared" si="195"/>
        <v>138163.6311</v>
      </c>
      <c r="BH93" s="181">
        <f t="shared" si="195"/>
        <v>168608.8514</v>
      </c>
      <c r="BI93" s="181">
        <f t="shared" si="195"/>
        <v>207628.3308</v>
      </c>
      <c r="BJ93" s="58"/>
      <c r="BK93" s="58"/>
      <c r="BL93" s="58"/>
      <c r="BM93" s="58"/>
      <c r="BN93" s="1"/>
      <c r="BO93" s="103"/>
      <c r="BP93" s="103"/>
      <c r="BQ93" s="103"/>
      <c r="BR93" s="103"/>
      <c r="BS93" s="103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ht="19.5" customHeight="1">
      <c r="A94" s="1"/>
      <c r="B94" s="177" t="s">
        <v>119</v>
      </c>
      <c r="C94" s="99">
        <v>951.1999999999998</v>
      </c>
      <c r="D94" s="99">
        <v>-27.600000000000364</v>
      </c>
      <c r="E94" s="183">
        <f t="shared" ref="E94:I94" si="196">-E68+D147-E147</f>
        <v>-4590.198573</v>
      </c>
      <c r="F94" s="183">
        <f t="shared" si="196"/>
        <v>-5666.472597</v>
      </c>
      <c r="G94" s="183">
        <f t="shared" si="196"/>
        <v>-6969.402594</v>
      </c>
      <c r="H94" s="183">
        <f t="shared" si="196"/>
        <v>-8550.639893</v>
      </c>
      <c r="I94" s="183">
        <f t="shared" si="196"/>
        <v>-10458.41829</v>
      </c>
      <c r="J94" s="1"/>
      <c r="K94" s="99">
        <v>-1352.2</v>
      </c>
      <c r="L94" s="99">
        <v>-1471.899920331035</v>
      </c>
      <c r="M94" s="99">
        <v>-2711.2367826047666</v>
      </c>
      <c r="N94" s="99">
        <v>-3717.1751128939636</v>
      </c>
      <c r="O94" s="99">
        <v>-4950.570356290325</v>
      </c>
      <c r="P94" s="99">
        <v>-6457.526276650922</v>
      </c>
      <c r="Q94" s="100">
        <v>-8293.14850256131</v>
      </c>
      <c r="R94" s="1"/>
      <c r="S94" s="99">
        <v>-159.20000000000002</v>
      </c>
      <c r="T94" s="99">
        <v>-167.20000000000002</v>
      </c>
      <c r="U94" s="99">
        <v>-735.6389999999998</v>
      </c>
      <c r="V94" s="99">
        <v>-1681.73235</v>
      </c>
      <c r="W94" s="99">
        <v>-3146.308239</v>
      </c>
      <c r="X94" s="99">
        <v>-5580.098223249999</v>
      </c>
      <c r="Y94" s="100">
        <v>-9160.869444124704</v>
      </c>
      <c r="Z94" s="1"/>
      <c r="AA94" s="99">
        <v>-441.0</v>
      </c>
      <c r="AB94" s="99">
        <v>-309.8613333333335</v>
      </c>
      <c r="AC94" s="99">
        <v>-434.03272377777796</v>
      </c>
      <c r="AD94" s="99">
        <v>-577.263603669</v>
      </c>
      <c r="AE94" s="99">
        <v>-742.0577902137446</v>
      </c>
      <c r="AF94" s="99">
        <v>-931.2327338117735</v>
      </c>
      <c r="AG94" s="100">
        <v>-1147.9581424579405</v>
      </c>
      <c r="AH94" s="1"/>
      <c r="AI94" s="158">
        <v>0.0</v>
      </c>
      <c r="AJ94" s="158">
        <v>0.0</v>
      </c>
      <c r="AK94" s="158">
        <v>0.0</v>
      </c>
      <c r="AL94" s="158">
        <v>0.0</v>
      </c>
      <c r="AM94" s="158">
        <v>0.0</v>
      </c>
      <c r="AN94" s="158">
        <v>0.0</v>
      </c>
      <c r="AO94" s="158">
        <v>0.0</v>
      </c>
      <c r="AP94" s="1"/>
      <c r="AQ94" s="159">
        <f t="shared" ref="AQ94:AW94" si="197">C94+K94+S94+AI94</f>
        <v>-560.2</v>
      </c>
      <c r="AR94" s="159">
        <f t="shared" si="197"/>
        <v>-1666.69992</v>
      </c>
      <c r="AS94" s="159">
        <f t="shared" si="197"/>
        <v>-8037.074356</v>
      </c>
      <c r="AT94" s="159">
        <f t="shared" si="197"/>
        <v>-11065.38006</v>
      </c>
      <c r="AU94" s="159">
        <f t="shared" si="197"/>
        <v>-15066.28119</v>
      </c>
      <c r="AV94" s="159">
        <f t="shared" si="197"/>
        <v>-20588.26439</v>
      </c>
      <c r="AW94" s="159">
        <f t="shared" si="197"/>
        <v>-27912.43623</v>
      </c>
      <c r="AX94" s="178" t="s">
        <v>120</v>
      </c>
      <c r="BJ94" s="58"/>
      <c r="BK94" s="58"/>
      <c r="BL94" s="58"/>
      <c r="BM94" s="58"/>
      <c r="BN94" s="1"/>
      <c r="BO94" s="103"/>
      <c r="BP94" s="103"/>
      <c r="BQ94" s="103"/>
      <c r="BR94" s="103"/>
      <c r="BS94" s="103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ht="19.5" customHeight="1">
      <c r="A95" s="1"/>
      <c r="B95" s="177" t="s">
        <v>111</v>
      </c>
      <c r="C95" s="99">
        <v>-8408.0</v>
      </c>
      <c r="D95" s="99">
        <v>-8498.086699999996</v>
      </c>
      <c r="E95" s="183">
        <f>-(E58+E57+E51+E50-E70+D130-E130+E66)</f>
        <v>-6481.111035</v>
      </c>
      <c r="F95" s="183">
        <f t="shared" ref="F95:I95" si="198">-(F58+F57+F51+F50-F70+E130-F130)</f>
        <v>-6745.398487</v>
      </c>
      <c r="G95" s="183">
        <f t="shared" si="198"/>
        <v>-7077.095179</v>
      </c>
      <c r="H95" s="183">
        <f t="shared" si="198"/>
        <v>-7425.543903</v>
      </c>
      <c r="I95" s="183">
        <f t="shared" si="198"/>
        <v>-7791.577244</v>
      </c>
      <c r="J95" s="1"/>
      <c r="K95" s="99">
        <v>-8786.0</v>
      </c>
      <c r="L95" s="99">
        <v>-8855.042007657994</v>
      </c>
      <c r="M95" s="99">
        <v>-4287.198618996591</v>
      </c>
      <c r="N95" s="99">
        <v>-4960.045578707974</v>
      </c>
      <c r="O95" s="99">
        <v>-5749.073171634284</v>
      </c>
      <c r="P95" s="99">
        <v>-6674.936297455388</v>
      </c>
      <c r="Q95" s="100">
        <v>-7761.995066411353</v>
      </c>
      <c r="R95" s="1"/>
      <c r="S95" s="99">
        <v>-2077.0</v>
      </c>
      <c r="T95" s="99">
        <v>-2400.0</v>
      </c>
      <c r="U95" s="99">
        <v>-2871.56</v>
      </c>
      <c r="V95" s="99">
        <v>-3453.3035999999997</v>
      </c>
      <c r="W95" s="99">
        <v>-4172.314316000001</v>
      </c>
      <c r="X95" s="99">
        <v>-5062.418799960001</v>
      </c>
      <c r="Y95" s="100">
        <v>-6165.8709592076</v>
      </c>
      <c r="Z95" s="1"/>
      <c r="AA95" s="99">
        <v>-723.0</v>
      </c>
      <c r="AB95" s="99">
        <v>-797.5927777777778</v>
      </c>
      <c r="AC95" s="99">
        <v>-725.2742666666668</v>
      </c>
      <c r="AD95" s="99">
        <v>-801.9225706666667</v>
      </c>
      <c r="AE95" s="99">
        <v>-887.3532868266668</v>
      </c>
      <c r="AF95" s="99">
        <v>-982.6036892330669</v>
      </c>
      <c r="AG95" s="100">
        <v>-1088.8348602477233</v>
      </c>
      <c r="AH95" s="1"/>
      <c r="AI95" s="171">
        <f t="shared" ref="AI95:AO95" si="199">-(AI85+AI86+AI87)</f>
        <v>-2522.3</v>
      </c>
      <c r="AJ95" s="171">
        <f t="shared" si="199"/>
        <v>-2522.3</v>
      </c>
      <c r="AK95" s="171">
        <f t="shared" si="199"/>
        <v>-2762.1</v>
      </c>
      <c r="AL95" s="171">
        <f t="shared" si="199"/>
        <v>-2889.755</v>
      </c>
      <c r="AM95" s="171">
        <f t="shared" si="199"/>
        <v>-3017.46775</v>
      </c>
      <c r="AN95" s="171">
        <f t="shared" si="199"/>
        <v>-3145.241138</v>
      </c>
      <c r="AO95" s="171">
        <f t="shared" si="199"/>
        <v>-3273.078194</v>
      </c>
      <c r="AP95" s="1"/>
      <c r="AQ95" s="159">
        <f t="shared" ref="AQ95:AW95" si="200">C95+K95+S95+AI95</f>
        <v>-21793.3</v>
      </c>
      <c r="AR95" s="159">
        <f t="shared" si="200"/>
        <v>-22275.42871</v>
      </c>
      <c r="AS95" s="159">
        <f t="shared" si="200"/>
        <v>-16401.96965</v>
      </c>
      <c r="AT95" s="159">
        <f t="shared" si="200"/>
        <v>-18048.50267</v>
      </c>
      <c r="AU95" s="159">
        <f t="shared" si="200"/>
        <v>-20015.95042</v>
      </c>
      <c r="AV95" s="159">
        <f t="shared" si="200"/>
        <v>-22308.14014</v>
      </c>
      <c r="AW95" s="159">
        <f t="shared" si="200"/>
        <v>-24992.52146</v>
      </c>
      <c r="AX95" s="172" t="s">
        <v>121</v>
      </c>
      <c r="AY95" s="173">
        <f t="shared" ref="AY95:BC95" si="201">E135</f>
        <v>59267.985</v>
      </c>
      <c r="AZ95" s="173">
        <f t="shared" si="201"/>
        <v>59947.9175</v>
      </c>
      <c r="BA95" s="173">
        <f t="shared" si="201"/>
        <v>60841.70258</v>
      </c>
      <c r="BB95" s="173">
        <f t="shared" si="201"/>
        <v>61062.89339</v>
      </c>
      <c r="BC95" s="173">
        <f t="shared" si="201"/>
        <v>61918.02743</v>
      </c>
      <c r="BD95" s="180" t="s">
        <v>121</v>
      </c>
      <c r="BE95" s="180">
        <f t="shared" ref="BE95:BI95" si="202">M135+U135+AC135+AK135</f>
        <v>60393.89859</v>
      </c>
      <c r="BF95" s="180">
        <f t="shared" si="202"/>
        <v>71298.58286</v>
      </c>
      <c r="BG95" s="180">
        <f t="shared" si="202"/>
        <v>83654.3284</v>
      </c>
      <c r="BH95" s="180">
        <f t="shared" si="202"/>
        <v>96529.75734</v>
      </c>
      <c r="BI95" s="180">
        <f t="shared" si="202"/>
        <v>106937.6617</v>
      </c>
      <c r="BJ95" s="58"/>
      <c r="BK95" s="58"/>
      <c r="BL95" s="58"/>
      <c r="BM95" s="58"/>
      <c r="BN95" s="1"/>
      <c r="BO95" s="103"/>
      <c r="BP95" s="103"/>
      <c r="BQ95" s="103"/>
      <c r="BR95" s="103"/>
      <c r="BS95" s="103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ht="19.5" customHeight="1">
      <c r="A96" s="1"/>
      <c r="B96" s="184" t="s">
        <v>122</v>
      </c>
      <c r="C96" s="185">
        <f t="shared" ref="C96:I96" si="203">C84+C91</f>
        <v>23333.2</v>
      </c>
      <c r="D96" s="185">
        <f t="shared" si="203"/>
        <v>20383.23333</v>
      </c>
      <c r="E96" s="185">
        <f t="shared" si="203"/>
        <v>20049.99302</v>
      </c>
      <c r="F96" s="185">
        <f t="shared" si="203"/>
        <v>22804.28859</v>
      </c>
      <c r="G96" s="185">
        <f t="shared" si="203"/>
        <v>27654.2346</v>
      </c>
      <c r="H96" s="185">
        <f t="shared" si="203"/>
        <v>34293.79447</v>
      </c>
      <c r="I96" s="185">
        <f t="shared" si="203"/>
        <v>42276.77756</v>
      </c>
      <c r="J96" s="1"/>
      <c r="K96" s="185">
        <f t="shared" ref="K96:Q96" si="204">K84+K91</f>
        <v>12411.8</v>
      </c>
      <c r="L96" s="185">
        <f t="shared" si="204"/>
        <v>12899.77801</v>
      </c>
      <c r="M96" s="185">
        <f t="shared" si="204"/>
        <v>14493.69174</v>
      </c>
      <c r="N96" s="185">
        <f t="shared" si="204"/>
        <v>18779.52061</v>
      </c>
      <c r="O96" s="185">
        <f t="shared" si="204"/>
        <v>23992.91194</v>
      </c>
      <c r="P96" s="185">
        <f t="shared" si="204"/>
        <v>30319.58528</v>
      </c>
      <c r="Q96" s="186">
        <f t="shared" si="204"/>
        <v>37981.37224</v>
      </c>
      <c r="R96" s="1"/>
      <c r="S96" s="185">
        <f t="shared" ref="S96:Y96" si="205">S84+S91</f>
        <v>2268.8</v>
      </c>
      <c r="T96" s="185">
        <f t="shared" si="205"/>
        <v>1595.8</v>
      </c>
      <c r="U96" s="185">
        <f t="shared" si="205"/>
        <v>3994.676</v>
      </c>
      <c r="V96" s="185">
        <f t="shared" si="205"/>
        <v>9085.6066</v>
      </c>
      <c r="W96" s="185">
        <f t="shared" si="205"/>
        <v>15716.35879</v>
      </c>
      <c r="X96" s="185">
        <f t="shared" si="205"/>
        <v>25511.32827</v>
      </c>
      <c r="Y96" s="186">
        <f t="shared" si="205"/>
        <v>39423.56928</v>
      </c>
      <c r="Z96" s="1"/>
      <c r="AA96" s="185">
        <f t="shared" ref="AA96:AG96" si="206">AA84+AA91</f>
        <v>3506</v>
      </c>
      <c r="AB96" s="185">
        <f t="shared" si="206"/>
        <v>2779.779</v>
      </c>
      <c r="AC96" s="185">
        <f t="shared" si="206"/>
        <v>3091.425517</v>
      </c>
      <c r="AD96" s="185">
        <f t="shared" si="206"/>
        <v>3678.560822</v>
      </c>
      <c r="AE96" s="185">
        <f t="shared" si="206"/>
        <v>4352.517824</v>
      </c>
      <c r="AF96" s="185">
        <f t="shared" si="206"/>
        <v>5124.589065</v>
      </c>
      <c r="AG96" s="186">
        <f t="shared" si="206"/>
        <v>6007.477025</v>
      </c>
      <c r="AH96" s="1"/>
      <c r="AI96" s="171">
        <f t="shared" ref="AI96:AO96" si="207">AI84+AI91</f>
        <v>0</v>
      </c>
      <c r="AJ96" s="171">
        <f t="shared" si="207"/>
        <v>0</v>
      </c>
      <c r="AK96" s="171">
        <f t="shared" si="207"/>
        <v>0</v>
      </c>
      <c r="AL96" s="171">
        <f t="shared" si="207"/>
        <v>0</v>
      </c>
      <c r="AM96" s="171">
        <f t="shared" si="207"/>
        <v>0</v>
      </c>
      <c r="AN96" s="171">
        <f t="shared" si="207"/>
        <v>0</v>
      </c>
      <c r="AO96" s="171">
        <f t="shared" si="207"/>
        <v>0</v>
      </c>
      <c r="AP96" s="1"/>
      <c r="AQ96" s="187">
        <f t="shared" ref="AQ96:AW96" si="208">C96+K96+S96+AI96</f>
        <v>38013.8</v>
      </c>
      <c r="AR96" s="187">
        <f t="shared" si="208"/>
        <v>34878.81135</v>
      </c>
      <c r="AS96" s="187">
        <f t="shared" si="208"/>
        <v>38538.36076</v>
      </c>
      <c r="AT96" s="187">
        <f t="shared" si="208"/>
        <v>50669.4158</v>
      </c>
      <c r="AU96" s="187">
        <f t="shared" si="208"/>
        <v>67363.50533</v>
      </c>
      <c r="AV96" s="187">
        <f t="shared" si="208"/>
        <v>90124.70803</v>
      </c>
      <c r="AW96" s="187">
        <f t="shared" si="208"/>
        <v>119681.7191</v>
      </c>
      <c r="AX96" s="172" t="s">
        <v>123</v>
      </c>
      <c r="AY96" s="173">
        <f t="shared" ref="AY96:BC96" si="209">E143+E146</f>
        <v>5877</v>
      </c>
      <c r="AZ96" s="173">
        <f t="shared" si="209"/>
        <v>5877</v>
      </c>
      <c r="BA96" s="173">
        <f t="shared" si="209"/>
        <v>5877</v>
      </c>
      <c r="BB96" s="173">
        <f t="shared" si="209"/>
        <v>5877</v>
      </c>
      <c r="BC96" s="173">
        <f t="shared" si="209"/>
        <v>5877</v>
      </c>
      <c r="BD96" s="180" t="s">
        <v>123</v>
      </c>
      <c r="BE96" s="180">
        <f t="shared" ref="BE96:BI96" si="210">M143+U143+AC143+M146+U146+AC146+AK146</f>
        <v>23940.41012</v>
      </c>
      <c r="BF96" s="180">
        <f t="shared" si="210"/>
        <v>27574.98943</v>
      </c>
      <c r="BG96" s="180">
        <f t="shared" si="210"/>
        <v>31983.00667</v>
      </c>
      <c r="BH96" s="180">
        <f t="shared" si="210"/>
        <v>36455.09564</v>
      </c>
      <c r="BI96" s="180">
        <f t="shared" si="210"/>
        <v>40524.3935</v>
      </c>
      <c r="BJ96" s="94"/>
      <c r="BK96" s="94"/>
      <c r="BL96" s="94"/>
      <c r="BM96" s="94"/>
      <c r="BN96" s="1"/>
      <c r="BO96" s="95"/>
      <c r="BP96" s="95"/>
      <c r="BQ96" s="95"/>
      <c r="BR96" s="95"/>
      <c r="BS96" s="95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</row>
    <row r="97" ht="19.5" customHeight="1">
      <c r="A97" s="1"/>
      <c r="B97" s="162"/>
      <c r="C97" s="162"/>
      <c r="D97" s="162"/>
      <c r="E97" s="188"/>
      <c r="F97" s="162"/>
      <c r="G97" s="162"/>
      <c r="H97" s="162"/>
      <c r="I97" s="162"/>
      <c r="J97" s="1"/>
      <c r="K97" s="162"/>
      <c r="L97" s="162"/>
      <c r="M97" s="162"/>
      <c r="N97" s="162"/>
      <c r="O97" s="162"/>
      <c r="P97" s="162"/>
      <c r="Q97" s="162"/>
      <c r="R97" s="1"/>
      <c r="S97" s="162"/>
      <c r="T97" s="162"/>
      <c r="U97" s="162"/>
      <c r="V97" s="162"/>
      <c r="W97" s="162"/>
      <c r="X97" s="162"/>
      <c r="Y97" s="162"/>
      <c r="Z97" s="1"/>
      <c r="AA97" s="162"/>
      <c r="AB97" s="162"/>
      <c r="AC97" s="162"/>
      <c r="AD97" s="162"/>
      <c r="AE97" s="162"/>
      <c r="AF97" s="162"/>
      <c r="AG97" s="162"/>
      <c r="AH97" s="1"/>
      <c r="AI97" s="158" t="s">
        <v>20</v>
      </c>
      <c r="AJ97" s="158" t="s">
        <v>20</v>
      </c>
      <c r="AK97" s="158" t="s">
        <v>20</v>
      </c>
      <c r="AL97" s="158" t="s">
        <v>20</v>
      </c>
      <c r="AM97" s="158" t="s">
        <v>20</v>
      </c>
      <c r="AN97" s="158" t="s">
        <v>20</v>
      </c>
      <c r="AO97" s="158" t="s">
        <v>20</v>
      </c>
      <c r="AP97" s="1"/>
      <c r="AQ97" s="163" t="s">
        <v>20</v>
      </c>
      <c r="AR97" s="163" t="s">
        <v>20</v>
      </c>
      <c r="AS97" s="163" t="s">
        <v>20</v>
      </c>
      <c r="AT97" s="163" t="s">
        <v>20</v>
      </c>
      <c r="AU97" s="163" t="s">
        <v>20</v>
      </c>
      <c r="AV97" s="163" t="s">
        <v>20</v>
      </c>
      <c r="AW97" s="163" t="s">
        <v>20</v>
      </c>
      <c r="AX97" s="189" t="s">
        <v>124</v>
      </c>
      <c r="AY97" s="179">
        <f t="shared" ref="AY97:BC97" si="211">E121</f>
        <v>35721.818</v>
      </c>
      <c r="AZ97" s="179">
        <f t="shared" si="211"/>
        <v>34810.26703</v>
      </c>
      <c r="BA97" s="179">
        <f t="shared" si="211"/>
        <v>33593.84595</v>
      </c>
      <c r="BB97" s="179">
        <f t="shared" si="211"/>
        <v>32330.86086</v>
      </c>
      <c r="BC97" s="179">
        <f t="shared" si="211"/>
        <v>31224.22049</v>
      </c>
      <c r="BD97" s="190" t="s">
        <v>124</v>
      </c>
      <c r="BE97" s="181">
        <f t="shared" ref="BE97:BI97" si="212">M121+U121+AC121+AK121</f>
        <v>10899.61723</v>
      </c>
      <c r="BF97" s="181">
        <f t="shared" si="212"/>
        <v>9514.284731</v>
      </c>
      <c r="BG97" s="181">
        <f t="shared" si="212"/>
        <v>8155.999823</v>
      </c>
      <c r="BH97" s="181">
        <f t="shared" si="212"/>
        <v>6822.641543</v>
      </c>
      <c r="BI97" s="181">
        <f t="shared" si="212"/>
        <v>5510.924636</v>
      </c>
      <c r="BJ97" s="162"/>
      <c r="BK97" s="162"/>
      <c r="BL97" s="162"/>
      <c r="BM97" s="162"/>
      <c r="BN97" s="1"/>
      <c r="BO97" s="166"/>
      <c r="BP97" s="166"/>
      <c r="BQ97" s="166"/>
      <c r="BR97" s="166"/>
      <c r="BS97" s="166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</row>
    <row r="98" ht="19.5" customHeight="1">
      <c r="A98" s="1"/>
      <c r="B98" s="162" t="s">
        <v>125</v>
      </c>
      <c r="C98" s="191"/>
      <c r="D98" s="191"/>
      <c r="E98" s="191"/>
      <c r="F98" s="191"/>
      <c r="G98" s="191"/>
      <c r="H98" s="191"/>
      <c r="I98" s="191"/>
      <c r="J98" s="1"/>
      <c r="K98" s="191"/>
      <c r="L98" s="191"/>
      <c r="M98" s="191"/>
      <c r="N98" s="191"/>
      <c r="O98" s="191"/>
      <c r="P98" s="191"/>
      <c r="Q98" s="191"/>
      <c r="R98" s="1"/>
      <c r="S98" s="191"/>
      <c r="T98" s="191"/>
      <c r="U98" s="191"/>
      <c r="V98" s="191"/>
      <c r="W98" s="191"/>
      <c r="X98" s="191"/>
      <c r="Y98" s="191"/>
      <c r="Z98" s="1"/>
      <c r="AA98" s="191"/>
      <c r="AB98" s="191"/>
      <c r="AC98" s="191"/>
      <c r="AD98" s="191"/>
      <c r="AE98" s="191"/>
      <c r="AF98" s="191"/>
      <c r="AG98" s="191"/>
      <c r="AH98" s="1"/>
      <c r="AI98" s="158" t="s">
        <v>20</v>
      </c>
      <c r="AJ98" s="158" t="s">
        <v>20</v>
      </c>
      <c r="AK98" s="158" t="s">
        <v>20</v>
      </c>
      <c r="AL98" s="158" t="s">
        <v>20</v>
      </c>
      <c r="AM98" s="158" t="s">
        <v>20</v>
      </c>
      <c r="AN98" s="158" t="s">
        <v>20</v>
      </c>
      <c r="AO98" s="158" t="s">
        <v>20</v>
      </c>
      <c r="AP98" s="1"/>
      <c r="AQ98" s="163" t="s">
        <v>20</v>
      </c>
      <c r="AR98" s="163" t="s">
        <v>20</v>
      </c>
      <c r="AS98" s="163" t="s">
        <v>20</v>
      </c>
      <c r="AT98" s="163" t="s">
        <v>20</v>
      </c>
      <c r="AU98" s="163" t="s">
        <v>20</v>
      </c>
      <c r="AV98" s="163" t="s">
        <v>20</v>
      </c>
      <c r="AW98" s="163" t="s">
        <v>20</v>
      </c>
      <c r="AX98" s="189" t="s">
        <v>126</v>
      </c>
      <c r="AY98" s="179">
        <f t="shared" ref="AY98:BC98" si="213">E124</f>
        <v>3515</v>
      </c>
      <c r="AZ98" s="179">
        <f t="shared" si="213"/>
        <v>3515</v>
      </c>
      <c r="BA98" s="179">
        <f t="shared" si="213"/>
        <v>3515</v>
      </c>
      <c r="BB98" s="179">
        <f t="shared" si="213"/>
        <v>3515</v>
      </c>
      <c r="BC98" s="179">
        <f t="shared" si="213"/>
        <v>3515</v>
      </c>
      <c r="BD98" s="190" t="s">
        <v>126</v>
      </c>
      <c r="BE98" s="181">
        <f t="shared" ref="BE98:BI98" si="214">M124+U124+AC124+AK124</f>
        <v>0</v>
      </c>
      <c r="BF98" s="181">
        <f t="shared" si="214"/>
        <v>0</v>
      </c>
      <c r="BG98" s="181">
        <f t="shared" si="214"/>
        <v>0</v>
      </c>
      <c r="BH98" s="181">
        <f t="shared" si="214"/>
        <v>0</v>
      </c>
      <c r="BI98" s="181">
        <f t="shared" si="214"/>
        <v>0</v>
      </c>
      <c r="BJ98" s="191"/>
      <c r="BK98" s="191"/>
      <c r="BL98" s="191"/>
      <c r="BM98" s="191"/>
      <c r="BN98" s="1"/>
      <c r="BO98" s="103"/>
      <c r="BP98" s="103"/>
      <c r="BQ98" s="103"/>
      <c r="BR98" s="103"/>
      <c r="BS98" s="103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</row>
    <row r="99" ht="19.5" customHeight="1">
      <c r="A99" s="1"/>
      <c r="B99" s="192" t="s">
        <v>127</v>
      </c>
      <c r="C99" s="99">
        <v>109.0</v>
      </c>
      <c r="D99" s="99">
        <v>109.0</v>
      </c>
      <c r="E99" s="183">
        <f t="shared" ref="E99:I99" si="215">E61</f>
        <v>109</v>
      </c>
      <c r="F99" s="183">
        <f t="shared" si="215"/>
        <v>109</v>
      </c>
      <c r="G99" s="183">
        <f t="shared" si="215"/>
        <v>109</v>
      </c>
      <c r="H99" s="183">
        <f t="shared" si="215"/>
        <v>109</v>
      </c>
      <c r="I99" s="183">
        <f t="shared" si="215"/>
        <v>109</v>
      </c>
      <c r="J99" s="1"/>
      <c r="K99" s="99">
        <v>469.0</v>
      </c>
      <c r="L99" s="99">
        <v>468.712275862069</v>
      </c>
      <c r="M99" s="99">
        <v>468.712275862069</v>
      </c>
      <c r="N99" s="99">
        <v>468.712275862069</v>
      </c>
      <c r="O99" s="99">
        <v>468.712275862069</v>
      </c>
      <c r="P99" s="99">
        <v>468.712275862069</v>
      </c>
      <c r="Q99" s="100">
        <v>468.712275862069</v>
      </c>
      <c r="R99" s="1"/>
      <c r="S99" s="99">
        <v>795.0</v>
      </c>
      <c r="T99" s="99">
        <v>795.0</v>
      </c>
      <c r="U99" s="99">
        <v>795.0</v>
      </c>
      <c r="V99" s="99">
        <v>795.0</v>
      </c>
      <c r="W99" s="99">
        <v>795.0</v>
      </c>
      <c r="X99" s="99">
        <v>795.0</v>
      </c>
      <c r="Y99" s="100">
        <v>795.0</v>
      </c>
      <c r="Z99" s="1"/>
      <c r="AA99" s="99">
        <v>0.0</v>
      </c>
      <c r="AB99" s="99">
        <v>0.0</v>
      </c>
      <c r="AC99" s="99">
        <v>0.0</v>
      </c>
      <c r="AD99" s="99">
        <v>0.0</v>
      </c>
      <c r="AE99" s="99">
        <v>0.0</v>
      </c>
      <c r="AF99" s="99">
        <v>0.0</v>
      </c>
      <c r="AG99" s="100">
        <v>0.0</v>
      </c>
      <c r="AH99" s="1"/>
      <c r="AI99" s="158">
        <v>0.0</v>
      </c>
      <c r="AJ99" s="158">
        <v>0.0</v>
      </c>
      <c r="AK99" s="158">
        <v>0.0</v>
      </c>
      <c r="AL99" s="158">
        <v>0.0</v>
      </c>
      <c r="AM99" s="158">
        <v>0.0</v>
      </c>
      <c r="AN99" s="158">
        <v>0.0</v>
      </c>
      <c r="AO99" s="158">
        <v>0.0</v>
      </c>
      <c r="AP99" s="1"/>
      <c r="AQ99" s="159">
        <f t="shared" ref="AQ99:AW99" si="216">C99+K99+S99+AI99</f>
        <v>1373</v>
      </c>
      <c r="AR99" s="159">
        <f t="shared" si="216"/>
        <v>1372.712276</v>
      </c>
      <c r="AS99" s="159">
        <f t="shared" si="216"/>
        <v>1372.712276</v>
      </c>
      <c r="AT99" s="159">
        <f t="shared" si="216"/>
        <v>1372.712276</v>
      </c>
      <c r="AU99" s="159">
        <f t="shared" si="216"/>
        <v>1372.712276</v>
      </c>
      <c r="AV99" s="159">
        <f t="shared" si="216"/>
        <v>1372.712276</v>
      </c>
      <c r="AW99" s="159">
        <f t="shared" si="216"/>
        <v>1372.712276</v>
      </c>
      <c r="AX99" s="172" t="s">
        <v>128</v>
      </c>
      <c r="AY99" s="179">
        <f t="shared" ref="AY99:BC99" si="217">E123</f>
        <v>1042</v>
      </c>
      <c r="AZ99" s="179">
        <f t="shared" si="217"/>
        <v>1042</v>
      </c>
      <c r="BA99" s="179">
        <f t="shared" si="217"/>
        <v>1042</v>
      </c>
      <c r="BB99" s="179">
        <f t="shared" si="217"/>
        <v>1042</v>
      </c>
      <c r="BC99" s="179">
        <f t="shared" si="217"/>
        <v>1042</v>
      </c>
      <c r="BD99" s="180" t="s">
        <v>128</v>
      </c>
      <c r="BE99" s="181">
        <f t="shared" ref="BE99:BI99" si="218">M123+U123+AC123+AK123</f>
        <v>1786</v>
      </c>
      <c r="BF99" s="181">
        <f t="shared" si="218"/>
        <v>1786</v>
      </c>
      <c r="BG99" s="181">
        <f t="shared" si="218"/>
        <v>1786</v>
      </c>
      <c r="BH99" s="181">
        <f t="shared" si="218"/>
        <v>1786</v>
      </c>
      <c r="BI99" s="181">
        <f t="shared" si="218"/>
        <v>1786</v>
      </c>
      <c r="BJ99" s="58"/>
      <c r="BK99" s="58"/>
      <c r="BL99" s="58"/>
      <c r="BM99" s="58"/>
      <c r="BN99" s="1"/>
      <c r="BO99" s="103"/>
      <c r="BP99" s="103"/>
      <c r="BQ99" s="103"/>
      <c r="BR99" s="103"/>
      <c r="BS99" s="103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</row>
    <row r="100" ht="19.5" customHeight="1">
      <c r="A100" s="1"/>
      <c r="B100" s="177" t="s">
        <v>129</v>
      </c>
      <c r="C100" s="99">
        <v>0.0</v>
      </c>
      <c r="D100" s="99">
        <v>0.0</v>
      </c>
      <c r="E100" s="99">
        <f t="shared" ref="E100:I100" si="219">(D100+L100+T100)</f>
        <v>0</v>
      </c>
      <c r="F100" s="99">
        <f t="shared" si="219"/>
        <v>0</v>
      </c>
      <c r="G100" s="99">
        <f t="shared" si="219"/>
        <v>0</v>
      </c>
      <c r="H100" s="99">
        <f t="shared" si="219"/>
        <v>0</v>
      </c>
      <c r="I100" s="99">
        <f t="shared" si="219"/>
        <v>0</v>
      </c>
      <c r="J100" s="1"/>
      <c r="K100" s="99">
        <v>0.0</v>
      </c>
      <c r="L100" s="99">
        <v>0.0</v>
      </c>
      <c r="M100" s="99">
        <v>0.0</v>
      </c>
      <c r="N100" s="99">
        <v>0.0</v>
      </c>
      <c r="O100" s="99">
        <v>0.0</v>
      </c>
      <c r="P100" s="99">
        <v>0.0</v>
      </c>
      <c r="Q100" s="100">
        <v>0.0</v>
      </c>
      <c r="R100" s="1"/>
      <c r="S100" s="99">
        <v>0.0</v>
      </c>
      <c r="T100" s="99">
        <v>0.0</v>
      </c>
      <c r="U100" s="99">
        <v>0.0</v>
      </c>
      <c r="V100" s="99">
        <v>0.0</v>
      </c>
      <c r="W100" s="99">
        <v>0.0</v>
      </c>
      <c r="X100" s="99">
        <v>0.0</v>
      </c>
      <c r="Y100" s="100">
        <v>0.0</v>
      </c>
      <c r="Z100" s="1"/>
      <c r="AA100" s="99">
        <v>0.0</v>
      </c>
      <c r="AB100" s="99">
        <v>0.0</v>
      </c>
      <c r="AC100" s="99">
        <v>0.0</v>
      </c>
      <c r="AD100" s="99">
        <v>0.0</v>
      </c>
      <c r="AE100" s="99">
        <v>0.0</v>
      </c>
      <c r="AF100" s="99">
        <v>0.0</v>
      </c>
      <c r="AG100" s="100">
        <v>0.0</v>
      </c>
      <c r="AH100" s="1"/>
      <c r="AI100" s="158">
        <v>0.0</v>
      </c>
      <c r="AJ100" s="158">
        <v>0.0</v>
      </c>
      <c r="AK100" s="158">
        <v>0.0</v>
      </c>
      <c r="AL100" s="158">
        <v>0.0</v>
      </c>
      <c r="AM100" s="158">
        <v>0.0</v>
      </c>
      <c r="AN100" s="158">
        <v>0.0</v>
      </c>
      <c r="AO100" s="158">
        <v>0.0</v>
      </c>
      <c r="AP100" s="1"/>
      <c r="AQ100" s="159">
        <f t="shared" ref="AQ100:AW100" si="220">C100+K100+S100+AI100</f>
        <v>0</v>
      </c>
      <c r="AR100" s="159">
        <f t="shared" si="220"/>
        <v>0</v>
      </c>
      <c r="AS100" s="159">
        <f t="shared" si="220"/>
        <v>0</v>
      </c>
      <c r="AT100" s="159">
        <f t="shared" si="220"/>
        <v>0</v>
      </c>
      <c r="AU100" s="159">
        <f t="shared" si="220"/>
        <v>0</v>
      </c>
      <c r="AV100" s="159">
        <f t="shared" si="220"/>
        <v>0</v>
      </c>
      <c r="AW100" s="159">
        <f t="shared" si="220"/>
        <v>0</v>
      </c>
      <c r="AX100" s="172" t="s">
        <v>130</v>
      </c>
      <c r="AY100" s="179">
        <f t="shared" ref="AY100:BC100" si="221">E130</f>
        <v>2322.18</v>
      </c>
      <c r="AZ100" s="179">
        <f t="shared" si="221"/>
        <v>2252.5146</v>
      </c>
      <c r="BA100" s="179">
        <f t="shared" si="221"/>
        <v>2184.939162</v>
      </c>
      <c r="BB100" s="179">
        <f t="shared" si="221"/>
        <v>2119.390987</v>
      </c>
      <c r="BC100" s="179">
        <f t="shared" si="221"/>
        <v>2055.809258</v>
      </c>
      <c r="BD100" s="180" t="s">
        <v>131</v>
      </c>
      <c r="BE100" s="181">
        <f t="shared" ref="BE100:BI100" si="222">M130+U130+AC130+AK130</f>
        <v>5411.448171</v>
      </c>
      <c r="BF100" s="181">
        <f t="shared" si="222"/>
        <v>5476.800351</v>
      </c>
      <c r="BG100" s="181">
        <f t="shared" si="222"/>
        <v>5542.962897</v>
      </c>
      <c r="BH100" s="181">
        <f t="shared" si="222"/>
        <v>5609.945859</v>
      </c>
      <c r="BI100" s="181">
        <f t="shared" si="222"/>
        <v>5677.75941</v>
      </c>
      <c r="BJ100" s="58"/>
      <c r="BK100" s="58"/>
      <c r="BL100" s="58"/>
      <c r="BM100" s="58"/>
      <c r="BN100" s="1"/>
      <c r="BO100" s="103"/>
      <c r="BP100" s="103"/>
      <c r="BQ100" s="103"/>
      <c r="BR100" s="103"/>
      <c r="BS100" s="103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</row>
    <row r="101" ht="19.5" customHeight="1">
      <c r="A101" s="1"/>
      <c r="B101" s="193" t="s">
        <v>132</v>
      </c>
      <c r="C101" s="99">
        <v>-51.0</v>
      </c>
      <c r="D101" s="99">
        <v>-51.0</v>
      </c>
      <c r="E101" s="99">
        <f>(D101+L101+T101)</f>
        <v>-51</v>
      </c>
      <c r="F101" s="194">
        <v>0.0</v>
      </c>
      <c r="G101" s="194">
        <v>0.0</v>
      </c>
      <c r="H101" s="194">
        <v>0.0</v>
      </c>
      <c r="I101" s="194">
        <v>0.0</v>
      </c>
      <c r="J101" s="1"/>
      <c r="K101" s="99">
        <v>0.0</v>
      </c>
      <c r="L101" s="99">
        <v>0.0</v>
      </c>
      <c r="M101" s="99">
        <v>0.0</v>
      </c>
      <c r="N101" s="99">
        <v>0.0</v>
      </c>
      <c r="O101" s="99">
        <v>0.0</v>
      </c>
      <c r="P101" s="99">
        <v>0.0</v>
      </c>
      <c r="Q101" s="100">
        <v>0.0</v>
      </c>
      <c r="R101" s="1"/>
      <c r="S101" s="99">
        <v>0.0</v>
      </c>
      <c r="T101" s="99">
        <v>0.0</v>
      </c>
      <c r="U101" s="99">
        <v>0.0</v>
      </c>
      <c r="V101" s="99">
        <v>0.0</v>
      </c>
      <c r="W101" s="99">
        <v>0.0</v>
      </c>
      <c r="X101" s="99">
        <v>0.0</v>
      </c>
      <c r="Y101" s="100">
        <v>0.0</v>
      </c>
      <c r="Z101" s="1"/>
      <c r="AA101" s="99">
        <v>0.0</v>
      </c>
      <c r="AB101" s="99">
        <v>0.0</v>
      </c>
      <c r="AC101" s="99">
        <v>0.0</v>
      </c>
      <c r="AD101" s="99">
        <v>0.0</v>
      </c>
      <c r="AE101" s="99">
        <v>0.0</v>
      </c>
      <c r="AF101" s="99">
        <v>0.0</v>
      </c>
      <c r="AG101" s="100">
        <v>0.0</v>
      </c>
      <c r="AH101" s="1"/>
      <c r="AI101" s="158">
        <v>0.0</v>
      </c>
      <c r="AJ101" s="158">
        <v>0.0</v>
      </c>
      <c r="AK101" s="158">
        <v>0.0</v>
      </c>
      <c r="AL101" s="158">
        <v>0.0</v>
      </c>
      <c r="AM101" s="158">
        <v>0.0</v>
      </c>
      <c r="AN101" s="158">
        <v>0.0</v>
      </c>
      <c r="AO101" s="158">
        <v>0.0</v>
      </c>
      <c r="AP101" s="1"/>
      <c r="AQ101" s="159">
        <f t="shared" ref="AQ101:AW101" si="223">C101+K101+S101+AI101</f>
        <v>-51</v>
      </c>
      <c r="AR101" s="159">
        <f t="shared" si="223"/>
        <v>-51</v>
      </c>
      <c r="AS101" s="159">
        <f t="shared" si="223"/>
        <v>-51</v>
      </c>
      <c r="AT101" s="159">
        <f t="shared" si="223"/>
        <v>0</v>
      </c>
      <c r="AU101" s="159">
        <f t="shared" si="223"/>
        <v>0</v>
      </c>
      <c r="AV101" s="159">
        <f t="shared" si="223"/>
        <v>0</v>
      </c>
      <c r="AW101" s="159">
        <f t="shared" si="223"/>
        <v>0</v>
      </c>
      <c r="AX101" s="160" t="s">
        <v>133</v>
      </c>
      <c r="BD101" s="195"/>
      <c r="BE101" s="1"/>
      <c r="BF101" s="125"/>
      <c r="BG101" s="125"/>
      <c r="BH101" s="1"/>
      <c r="BI101" s="58"/>
      <c r="BJ101" s="58"/>
      <c r="BK101" s="58"/>
      <c r="BL101" s="58"/>
      <c r="BM101" s="58"/>
      <c r="BN101" s="1"/>
      <c r="BO101" s="103"/>
      <c r="BP101" s="103"/>
      <c r="BQ101" s="103"/>
      <c r="BR101" s="103"/>
      <c r="BS101" s="103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</row>
    <row r="102" ht="19.5" customHeight="1">
      <c r="A102" s="1"/>
      <c r="B102" s="184" t="s">
        <v>134</v>
      </c>
      <c r="C102" s="185">
        <f t="shared" ref="C102:I102" si="224">SUM(C99:C101)</f>
        <v>58</v>
      </c>
      <c r="D102" s="185">
        <f t="shared" si="224"/>
        <v>58</v>
      </c>
      <c r="E102" s="185">
        <f t="shared" si="224"/>
        <v>58</v>
      </c>
      <c r="F102" s="185">
        <f t="shared" si="224"/>
        <v>109</v>
      </c>
      <c r="G102" s="185">
        <f t="shared" si="224"/>
        <v>109</v>
      </c>
      <c r="H102" s="185">
        <f t="shared" si="224"/>
        <v>109</v>
      </c>
      <c r="I102" s="185">
        <f t="shared" si="224"/>
        <v>109</v>
      </c>
      <c r="J102" s="1"/>
      <c r="K102" s="185">
        <f t="shared" ref="K102:Q102" si="225">SUM(K99:K101)</f>
        <v>469</v>
      </c>
      <c r="L102" s="185">
        <f t="shared" si="225"/>
        <v>468.7122759</v>
      </c>
      <c r="M102" s="185">
        <f t="shared" si="225"/>
        <v>468.7122759</v>
      </c>
      <c r="N102" s="185">
        <f t="shared" si="225"/>
        <v>468.7122759</v>
      </c>
      <c r="O102" s="185">
        <f t="shared" si="225"/>
        <v>468.7122759</v>
      </c>
      <c r="P102" s="185">
        <f t="shared" si="225"/>
        <v>468.7122759</v>
      </c>
      <c r="Q102" s="186">
        <f t="shared" si="225"/>
        <v>468.7122759</v>
      </c>
      <c r="R102" s="1"/>
      <c r="S102" s="185">
        <f t="shared" ref="S102:Y102" si="226">SUM(S99:S101)</f>
        <v>795</v>
      </c>
      <c r="T102" s="185">
        <f t="shared" si="226"/>
        <v>795</v>
      </c>
      <c r="U102" s="185">
        <f t="shared" si="226"/>
        <v>795</v>
      </c>
      <c r="V102" s="185">
        <f t="shared" si="226"/>
        <v>795</v>
      </c>
      <c r="W102" s="185">
        <f t="shared" si="226"/>
        <v>795</v>
      </c>
      <c r="X102" s="185">
        <f t="shared" si="226"/>
        <v>795</v>
      </c>
      <c r="Y102" s="186">
        <f t="shared" si="226"/>
        <v>795</v>
      </c>
      <c r="Z102" s="1"/>
      <c r="AA102" s="185">
        <f t="shared" ref="AA102:AG102" si="227">SUM(AA99:AA101)</f>
        <v>0</v>
      </c>
      <c r="AB102" s="185">
        <f t="shared" si="227"/>
        <v>0</v>
      </c>
      <c r="AC102" s="185">
        <f t="shared" si="227"/>
        <v>0</v>
      </c>
      <c r="AD102" s="185">
        <f t="shared" si="227"/>
        <v>0</v>
      </c>
      <c r="AE102" s="185">
        <f t="shared" si="227"/>
        <v>0</v>
      </c>
      <c r="AF102" s="185">
        <f t="shared" si="227"/>
        <v>0</v>
      </c>
      <c r="AG102" s="186">
        <f t="shared" si="227"/>
        <v>0</v>
      </c>
      <c r="AH102" s="1"/>
      <c r="AI102" s="171">
        <f t="shared" ref="AI102:AO102" si="228">SUM(AI99:AI101)</f>
        <v>0</v>
      </c>
      <c r="AJ102" s="171">
        <f t="shared" si="228"/>
        <v>0</v>
      </c>
      <c r="AK102" s="171">
        <f t="shared" si="228"/>
        <v>0</v>
      </c>
      <c r="AL102" s="171">
        <f t="shared" si="228"/>
        <v>0</v>
      </c>
      <c r="AM102" s="171">
        <f t="shared" si="228"/>
        <v>0</v>
      </c>
      <c r="AN102" s="171">
        <f t="shared" si="228"/>
        <v>0</v>
      </c>
      <c r="AO102" s="171">
        <f t="shared" si="228"/>
        <v>0</v>
      </c>
      <c r="AP102" s="1"/>
      <c r="AQ102" s="187">
        <f t="shared" ref="AQ102:AW102" si="229">C102+K102+S102+AI102</f>
        <v>1322</v>
      </c>
      <c r="AR102" s="187">
        <f t="shared" si="229"/>
        <v>1321.712276</v>
      </c>
      <c r="AS102" s="187">
        <f t="shared" si="229"/>
        <v>1321.712276</v>
      </c>
      <c r="AT102" s="187">
        <f t="shared" si="229"/>
        <v>1372.712276</v>
      </c>
      <c r="AU102" s="187">
        <f t="shared" si="229"/>
        <v>1372.712276</v>
      </c>
      <c r="AV102" s="187">
        <f t="shared" si="229"/>
        <v>1372.712276</v>
      </c>
      <c r="AW102" s="187">
        <f t="shared" si="229"/>
        <v>1372.712276</v>
      </c>
      <c r="AX102" s="196" t="s">
        <v>135</v>
      </c>
      <c r="BD102" s="195"/>
      <c r="BE102" s="1"/>
      <c r="BF102" s="125"/>
      <c r="BG102" s="125"/>
      <c r="BH102" s="1"/>
      <c r="BI102" s="94"/>
      <c r="BJ102" s="94"/>
      <c r="BK102" s="94"/>
      <c r="BL102" s="94"/>
      <c r="BM102" s="94"/>
      <c r="BN102" s="1"/>
      <c r="BO102" s="95"/>
      <c r="BP102" s="95"/>
      <c r="BQ102" s="95"/>
      <c r="BR102" s="95"/>
      <c r="BS102" s="95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</row>
    <row r="103" ht="19.5" customHeight="1">
      <c r="A103" s="1"/>
      <c r="B103" s="162"/>
      <c r="C103" s="162"/>
      <c r="D103" s="162"/>
      <c r="E103" s="188"/>
      <c r="F103" s="162"/>
      <c r="G103" s="162"/>
      <c r="H103" s="162"/>
      <c r="I103" s="162"/>
      <c r="J103" s="1"/>
      <c r="K103" s="162"/>
      <c r="L103" s="162"/>
      <c r="M103" s="162"/>
      <c r="N103" s="162"/>
      <c r="O103" s="162"/>
      <c r="P103" s="162"/>
      <c r="Q103" s="162"/>
      <c r="R103" s="1"/>
      <c r="S103" s="162"/>
      <c r="T103" s="162"/>
      <c r="U103" s="162"/>
      <c r="V103" s="162"/>
      <c r="W103" s="162"/>
      <c r="X103" s="162"/>
      <c r="Y103" s="162"/>
      <c r="Z103" s="1"/>
      <c r="AA103" s="162"/>
      <c r="AB103" s="162"/>
      <c r="AC103" s="162"/>
      <c r="AD103" s="162"/>
      <c r="AE103" s="162"/>
      <c r="AF103" s="162"/>
      <c r="AG103" s="162"/>
      <c r="AH103" s="1"/>
      <c r="AI103" s="158" t="s">
        <v>20</v>
      </c>
      <c r="AJ103" s="158" t="s">
        <v>20</v>
      </c>
      <c r="AK103" s="158" t="s">
        <v>20</v>
      </c>
      <c r="AL103" s="158" t="s">
        <v>20</v>
      </c>
      <c r="AM103" s="158" t="s">
        <v>20</v>
      </c>
      <c r="AN103" s="158" t="s">
        <v>20</v>
      </c>
      <c r="AO103" s="158" t="s">
        <v>20</v>
      </c>
      <c r="AP103" s="1"/>
      <c r="AQ103" s="163" t="s">
        <v>20</v>
      </c>
      <c r="AR103" s="163" t="s">
        <v>20</v>
      </c>
      <c r="AS103" s="163" t="s">
        <v>20</v>
      </c>
      <c r="AT103" s="163" t="s">
        <v>20</v>
      </c>
      <c r="AU103" s="163" t="s">
        <v>20</v>
      </c>
      <c r="AV103" s="163" t="s">
        <v>20</v>
      </c>
      <c r="AW103" s="163" t="s">
        <v>20</v>
      </c>
      <c r="AX103" s="197" t="s">
        <v>102</v>
      </c>
      <c r="AY103" s="197" t="s">
        <v>1</v>
      </c>
      <c r="AZ103" s="197" t="s">
        <v>2</v>
      </c>
      <c r="BA103" s="197" t="s">
        <v>3</v>
      </c>
      <c r="BB103" s="197" t="s">
        <v>4</v>
      </c>
      <c r="BC103" s="197" t="s">
        <v>136</v>
      </c>
      <c r="BD103" s="162"/>
      <c r="BE103" s="1"/>
      <c r="BF103" s="125"/>
      <c r="BG103" s="125"/>
      <c r="BH103" s="1"/>
      <c r="BI103" s="162"/>
      <c r="BJ103" s="162"/>
      <c r="BK103" s="162"/>
      <c r="BL103" s="162"/>
      <c r="BM103" s="162"/>
      <c r="BN103" s="1"/>
      <c r="BO103" s="166"/>
      <c r="BP103" s="166"/>
      <c r="BQ103" s="166"/>
      <c r="BR103" s="166"/>
      <c r="BS103" s="166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</row>
    <row r="104" ht="19.5" customHeight="1">
      <c r="A104" s="1"/>
      <c r="B104" s="191"/>
      <c r="C104" s="58"/>
      <c r="D104" s="58"/>
      <c r="E104" s="58"/>
      <c r="F104" s="58"/>
      <c r="G104" s="58"/>
      <c r="H104" s="58"/>
      <c r="I104" s="58"/>
      <c r="J104" s="1"/>
      <c r="K104" s="58"/>
      <c r="L104" s="58"/>
      <c r="M104" s="58"/>
      <c r="N104" s="58"/>
      <c r="O104" s="58"/>
      <c r="P104" s="58"/>
      <c r="Q104" s="58"/>
      <c r="R104" s="1"/>
      <c r="S104" s="58"/>
      <c r="T104" s="58"/>
      <c r="U104" s="58"/>
      <c r="V104" s="58"/>
      <c r="W104" s="58"/>
      <c r="X104" s="58"/>
      <c r="Y104" s="58"/>
      <c r="Z104" s="1"/>
      <c r="AA104" s="58"/>
      <c r="AB104" s="58"/>
      <c r="AC104" s="58"/>
      <c r="AD104" s="58"/>
      <c r="AE104" s="58"/>
      <c r="AF104" s="58"/>
      <c r="AG104" s="58"/>
      <c r="AH104" s="1"/>
      <c r="AI104" s="158" t="s">
        <v>20</v>
      </c>
      <c r="AJ104" s="158" t="s">
        <v>20</v>
      </c>
      <c r="AK104" s="158" t="s">
        <v>20</v>
      </c>
      <c r="AL104" s="158" t="s">
        <v>20</v>
      </c>
      <c r="AM104" s="158" t="s">
        <v>20</v>
      </c>
      <c r="AN104" s="158" t="s">
        <v>20</v>
      </c>
      <c r="AO104" s="158" t="s">
        <v>20</v>
      </c>
      <c r="AP104" s="1"/>
      <c r="AQ104" s="163" t="s">
        <v>20</v>
      </c>
      <c r="AR104" s="163" t="s">
        <v>20</v>
      </c>
      <c r="AS104" s="163" t="s">
        <v>20</v>
      </c>
      <c r="AT104" s="163" t="s">
        <v>20</v>
      </c>
      <c r="AU104" s="163" t="s">
        <v>20</v>
      </c>
      <c r="AV104" s="163" t="s">
        <v>20</v>
      </c>
      <c r="AW104" s="163" t="s">
        <v>20</v>
      </c>
      <c r="AX104" s="198" t="s">
        <v>137</v>
      </c>
      <c r="AY104" s="199">
        <f>D69/D42</f>
        <v>0.2931614306</v>
      </c>
      <c r="AZ104" s="199">
        <f>L69/L42</f>
        <v>0.1753280465</v>
      </c>
      <c r="BA104" s="199">
        <f>T69/T42</f>
        <v>0.02722572766</v>
      </c>
      <c r="BB104" s="199">
        <f>AB69/AB42</f>
        <v>0.1566569831</v>
      </c>
      <c r="BC104" s="199">
        <f>(D69+L69+T69+AB69)/(D42+L42+T42+AB42)</f>
        <v>0.1932754442</v>
      </c>
      <c r="BD104" s="58"/>
      <c r="BE104" s="1"/>
      <c r="BF104" s="58"/>
      <c r="BG104" s="58"/>
      <c r="BH104" s="1"/>
      <c r="BI104" s="58"/>
      <c r="BJ104" s="58"/>
      <c r="BK104" s="58"/>
      <c r="BL104" s="58"/>
      <c r="BM104" s="58"/>
      <c r="BN104" s="1"/>
      <c r="BO104" s="103"/>
      <c r="BP104" s="103"/>
      <c r="BQ104" s="103"/>
      <c r="BR104" s="103"/>
      <c r="BS104" s="103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</row>
    <row r="105" ht="19.5" customHeight="1">
      <c r="A105" s="1"/>
      <c r="B105" s="162" t="s">
        <v>138</v>
      </c>
      <c r="C105" s="162"/>
      <c r="D105" s="162"/>
      <c r="E105" s="162"/>
      <c r="F105" s="162"/>
      <c r="G105" s="162"/>
      <c r="H105" s="162"/>
      <c r="I105" s="162"/>
      <c r="J105" s="1"/>
      <c r="K105" s="162"/>
      <c r="L105" s="162"/>
      <c r="M105" s="162"/>
      <c r="N105" s="162"/>
      <c r="O105" s="162"/>
      <c r="P105" s="162"/>
      <c r="Q105" s="162"/>
      <c r="R105" s="1"/>
      <c r="S105" s="162"/>
      <c r="T105" s="162"/>
      <c r="U105" s="162"/>
      <c r="V105" s="162"/>
      <c r="W105" s="162"/>
      <c r="X105" s="162"/>
      <c r="Y105" s="162"/>
      <c r="Z105" s="1"/>
      <c r="AA105" s="162"/>
      <c r="AB105" s="162"/>
      <c r="AC105" s="162"/>
      <c r="AD105" s="162"/>
      <c r="AE105" s="162"/>
      <c r="AF105" s="162"/>
      <c r="AG105" s="162"/>
      <c r="AH105" s="1"/>
      <c r="AI105" s="158" t="s">
        <v>20</v>
      </c>
      <c r="AJ105" s="158" t="s">
        <v>20</v>
      </c>
      <c r="AK105" s="158" t="s">
        <v>20</v>
      </c>
      <c r="AL105" s="158" t="s">
        <v>20</v>
      </c>
      <c r="AM105" s="158" t="s">
        <v>20</v>
      </c>
      <c r="AN105" s="158" t="s">
        <v>20</v>
      </c>
      <c r="AO105" s="158" t="s">
        <v>20</v>
      </c>
      <c r="AP105" s="1"/>
      <c r="AQ105" s="163" t="s">
        <v>20</v>
      </c>
      <c r="AR105" s="163" t="s">
        <v>20</v>
      </c>
      <c r="AS105" s="163" t="s">
        <v>20</v>
      </c>
      <c r="AT105" s="163" t="s">
        <v>20</v>
      </c>
      <c r="AU105" s="163" t="s">
        <v>20</v>
      </c>
      <c r="AV105" s="163" t="s">
        <v>20</v>
      </c>
      <c r="AW105" s="163" t="s">
        <v>20</v>
      </c>
      <c r="AX105" s="198" t="s">
        <v>139</v>
      </c>
      <c r="AY105" s="199">
        <f>D69/D119</f>
        <v>0.2290204168</v>
      </c>
      <c r="AZ105" s="199">
        <f>L69/L119</f>
        <v>0.1396847401</v>
      </c>
      <c r="BA105" s="199">
        <f>T69/T119</f>
        <v>0.04146825397</v>
      </c>
      <c r="BB105" s="199">
        <f>AB69/AB119</f>
        <v>0.2631162098</v>
      </c>
      <c r="BC105" s="199">
        <f>(D69+L69+T69+AB69)/(D119+L119+T119+AB119)</f>
        <v>0.1743422767</v>
      </c>
      <c r="BD105" s="162"/>
      <c r="BE105" s="1"/>
      <c r="BF105" s="162"/>
      <c r="BG105" s="162"/>
      <c r="BH105" s="1"/>
      <c r="BI105" s="162"/>
      <c r="BJ105" s="162"/>
      <c r="BK105" s="162"/>
      <c r="BL105" s="162"/>
      <c r="BM105" s="162"/>
      <c r="BN105" s="1"/>
      <c r="BO105" s="166"/>
      <c r="BP105" s="166"/>
      <c r="BQ105" s="166"/>
      <c r="BR105" s="166"/>
      <c r="BS105" s="166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</row>
    <row r="106" ht="19.5" customHeight="1">
      <c r="A106" s="1"/>
      <c r="B106" s="192" t="s">
        <v>140</v>
      </c>
      <c r="C106" s="99">
        <v>600.0</v>
      </c>
      <c r="D106" s="99">
        <v>600.0</v>
      </c>
      <c r="E106" s="194">
        <f t="shared" ref="E106:I106" si="230">E32</f>
        <v>600</v>
      </c>
      <c r="F106" s="194">
        <f t="shared" si="230"/>
        <v>0</v>
      </c>
      <c r="G106" s="194">
        <f t="shared" si="230"/>
        <v>0</v>
      </c>
      <c r="H106" s="194">
        <f t="shared" si="230"/>
        <v>0</v>
      </c>
      <c r="I106" s="194">
        <f t="shared" si="230"/>
        <v>0</v>
      </c>
      <c r="J106" s="1"/>
      <c r="K106" s="99">
        <v>0.0</v>
      </c>
      <c r="L106" s="99">
        <v>0.0</v>
      </c>
      <c r="M106" s="99">
        <v>0.0</v>
      </c>
      <c r="N106" s="99">
        <v>0.0</v>
      </c>
      <c r="O106" s="99">
        <v>0.0</v>
      </c>
      <c r="P106" s="99">
        <v>0.0</v>
      </c>
      <c r="Q106" s="100">
        <v>0.0</v>
      </c>
      <c r="R106" s="1"/>
      <c r="S106" s="99">
        <v>0.0</v>
      </c>
      <c r="T106" s="99">
        <v>0.0</v>
      </c>
      <c r="U106" s="99">
        <v>0.0</v>
      </c>
      <c r="V106" s="99">
        <v>0.0</v>
      </c>
      <c r="W106" s="99">
        <v>0.0</v>
      </c>
      <c r="X106" s="99">
        <v>0.0</v>
      </c>
      <c r="Y106" s="100">
        <v>0.0</v>
      </c>
      <c r="Z106" s="1"/>
      <c r="AA106" s="99">
        <v>0.0</v>
      </c>
      <c r="AB106" s="99">
        <v>0.0</v>
      </c>
      <c r="AC106" s="99">
        <v>0.0</v>
      </c>
      <c r="AD106" s="99">
        <v>0.0</v>
      </c>
      <c r="AE106" s="99">
        <v>0.0</v>
      </c>
      <c r="AF106" s="99">
        <v>0.0</v>
      </c>
      <c r="AG106" s="100">
        <v>0.0</v>
      </c>
      <c r="AH106" s="1"/>
      <c r="AI106" s="171">
        <f t="shared" ref="AI106:AJ106" si="231">C33</f>
        <v>600</v>
      </c>
      <c r="AJ106" s="171">
        <f t="shared" si="231"/>
        <v>600</v>
      </c>
      <c r="AK106" s="171">
        <f>E32</f>
        <v>600</v>
      </c>
      <c r="AL106" s="171">
        <f t="shared" ref="AL106:AO106" si="232">F33</f>
        <v>0</v>
      </c>
      <c r="AM106" s="171">
        <f t="shared" si="232"/>
        <v>0</v>
      </c>
      <c r="AN106" s="171">
        <f t="shared" si="232"/>
        <v>0</v>
      </c>
      <c r="AO106" s="171">
        <f t="shared" si="232"/>
        <v>0</v>
      </c>
      <c r="AP106" s="1"/>
      <c r="AQ106" s="159">
        <f t="shared" ref="AQ106:AW106" si="233">C106+K106+S106+AI106</f>
        <v>1200</v>
      </c>
      <c r="AR106" s="159">
        <f t="shared" si="233"/>
        <v>1200</v>
      </c>
      <c r="AS106" s="159">
        <f t="shared" si="233"/>
        <v>1200</v>
      </c>
      <c r="AT106" s="159">
        <f t="shared" si="233"/>
        <v>0</v>
      </c>
      <c r="AU106" s="159">
        <f t="shared" si="233"/>
        <v>0</v>
      </c>
      <c r="AV106" s="159">
        <f t="shared" si="233"/>
        <v>0</v>
      </c>
      <c r="AW106" s="159">
        <f t="shared" si="233"/>
        <v>0</v>
      </c>
      <c r="AX106" s="198" t="s">
        <v>141</v>
      </c>
      <c r="AY106" s="198">
        <f>D69/D135</f>
        <v>0.256361321</v>
      </c>
      <c r="AZ106" s="198">
        <f>L69/L135</f>
        <v>0.1993034098</v>
      </c>
      <c r="BA106" s="198">
        <f>T69/T135</f>
        <v>0.05824261952</v>
      </c>
      <c r="BB106" s="198">
        <f>AB69/AB135</f>
        <v>0.3676981237</v>
      </c>
      <c r="BC106" s="199">
        <f>(D69+L69+T69+AB69)/(D135+L135+T135+AB135)</f>
        <v>0.2199561003</v>
      </c>
      <c r="BD106" s="58"/>
      <c r="BE106" s="1"/>
      <c r="BF106" s="58"/>
      <c r="BG106" s="58"/>
      <c r="BH106" s="1"/>
      <c r="BI106" s="58"/>
      <c r="BJ106" s="58"/>
      <c r="BK106" s="58"/>
      <c r="BL106" s="58"/>
      <c r="BM106" s="58"/>
      <c r="BN106" s="1"/>
      <c r="BO106" s="103"/>
      <c r="BP106" s="103"/>
      <c r="BQ106" s="103"/>
      <c r="BR106" s="103"/>
      <c r="BS106" s="103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</row>
    <row r="107" ht="19.5" customHeight="1">
      <c r="A107" s="1"/>
      <c r="B107" s="192" t="s">
        <v>142</v>
      </c>
      <c r="C107" s="99">
        <v>-864.0</v>
      </c>
      <c r="D107" s="99">
        <v>-863.8333333333331</v>
      </c>
      <c r="E107" s="183">
        <f t="shared" ref="E107:I107" si="234">-E55</f>
        <v>-907.025</v>
      </c>
      <c r="F107" s="183">
        <f t="shared" si="234"/>
        <v>-952.37625</v>
      </c>
      <c r="G107" s="183">
        <f t="shared" si="234"/>
        <v>-999.9950625</v>
      </c>
      <c r="H107" s="183">
        <f t="shared" si="234"/>
        <v>-1049.994816</v>
      </c>
      <c r="I107" s="183">
        <f t="shared" si="234"/>
        <v>-1102.494556</v>
      </c>
      <c r="J107" s="1"/>
      <c r="K107" s="99">
        <v>-778.0</v>
      </c>
      <c r="L107" s="99">
        <v>-777.8705015172415</v>
      </c>
      <c r="M107" s="99">
        <v>-820.6533791006897</v>
      </c>
      <c r="N107" s="99">
        <v>-865.7893149512275</v>
      </c>
      <c r="O107" s="99">
        <v>-913.407727273545</v>
      </c>
      <c r="P107" s="99">
        <v>-963.6451522735899</v>
      </c>
      <c r="Q107" s="100">
        <v>-1016.6456356486373</v>
      </c>
      <c r="R107" s="1"/>
      <c r="S107" s="99">
        <v>-549.0</v>
      </c>
      <c r="T107" s="99">
        <v>-549.0</v>
      </c>
      <c r="U107" s="99">
        <v>-581.94</v>
      </c>
      <c r="V107" s="99">
        <v>-616.8564000000001</v>
      </c>
      <c r="W107" s="99">
        <v>-653.8677840000001</v>
      </c>
      <c r="X107" s="99">
        <v>-693.0998510400002</v>
      </c>
      <c r="Y107" s="100">
        <v>-734.6858421024002</v>
      </c>
      <c r="Z107" s="1"/>
      <c r="AA107" s="99">
        <v>-200.0</v>
      </c>
      <c r="AB107" s="99">
        <v>-200.0</v>
      </c>
      <c r="AC107" s="99">
        <v>-208.0</v>
      </c>
      <c r="AD107" s="99">
        <v>-216.32</v>
      </c>
      <c r="AE107" s="99">
        <v>-224.9728</v>
      </c>
      <c r="AF107" s="99">
        <v>-233.97171200000003</v>
      </c>
      <c r="AG107" s="100">
        <v>-243.33058048000004</v>
      </c>
      <c r="AH107" s="1"/>
      <c r="AI107" s="158">
        <v>0.0</v>
      </c>
      <c r="AJ107" s="158">
        <v>0.0</v>
      </c>
      <c r="AK107" s="158">
        <v>0.0</v>
      </c>
      <c r="AL107" s="158">
        <v>0.0</v>
      </c>
      <c r="AM107" s="158">
        <v>0.0</v>
      </c>
      <c r="AN107" s="158">
        <v>0.0</v>
      </c>
      <c r="AO107" s="158">
        <v>0.0</v>
      </c>
      <c r="AP107" s="1"/>
      <c r="AQ107" s="159">
        <f t="shared" ref="AQ107:AW107" si="235">C107+K107+S107+AI107</f>
        <v>-2191</v>
      </c>
      <c r="AR107" s="159">
        <f t="shared" si="235"/>
        <v>-2190.703835</v>
      </c>
      <c r="AS107" s="159">
        <f t="shared" si="235"/>
        <v>-2309.618379</v>
      </c>
      <c r="AT107" s="159">
        <f t="shared" si="235"/>
        <v>-2435.021965</v>
      </c>
      <c r="AU107" s="159">
        <f t="shared" si="235"/>
        <v>-2567.270574</v>
      </c>
      <c r="AV107" s="159">
        <f t="shared" si="235"/>
        <v>-2706.739819</v>
      </c>
      <c r="AW107" s="159">
        <f t="shared" si="235"/>
        <v>-2853.826034</v>
      </c>
      <c r="AX107" s="196" t="s">
        <v>143</v>
      </c>
      <c r="BD107" s="58"/>
      <c r="BE107" s="1"/>
      <c r="BF107" s="58"/>
      <c r="BG107" s="58"/>
      <c r="BH107" s="1"/>
      <c r="BI107" s="58"/>
      <c r="BJ107" s="58"/>
      <c r="BK107" s="58"/>
      <c r="BL107" s="58"/>
      <c r="BM107" s="58"/>
      <c r="BN107" s="1"/>
      <c r="BO107" s="103"/>
      <c r="BP107" s="103"/>
      <c r="BQ107" s="103"/>
      <c r="BR107" s="103"/>
      <c r="BS107" s="103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</row>
    <row r="108" ht="19.5" customHeight="1">
      <c r="A108" s="1"/>
      <c r="B108" s="192" t="s">
        <v>144</v>
      </c>
      <c r="C108" s="99">
        <v>-1154.0</v>
      </c>
      <c r="D108" s="99">
        <v>-1154.0</v>
      </c>
      <c r="E108" s="99">
        <f>D108</f>
        <v>-1154</v>
      </c>
      <c r="F108" s="99">
        <f t="shared" ref="F108:I108" si="236">F33</f>
        <v>0</v>
      </c>
      <c r="G108" s="99">
        <f t="shared" si="236"/>
        <v>0</v>
      </c>
      <c r="H108" s="99">
        <f t="shared" si="236"/>
        <v>0</v>
      </c>
      <c r="I108" s="99">
        <f t="shared" si="236"/>
        <v>0</v>
      </c>
      <c r="J108" s="1"/>
      <c r="K108" s="99">
        <v>0.0</v>
      </c>
      <c r="L108" s="99">
        <v>0.0</v>
      </c>
      <c r="M108" s="99">
        <v>0.0</v>
      </c>
      <c r="N108" s="99">
        <v>0.0</v>
      </c>
      <c r="O108" s="99">
        <v>0.0</v>
      </c>
      <c r="P108" s="99">
        <v>0.0</v>
      </c>
      <c r="Q108" s="100">
        <v>0.0</v>
      </c>
      <c r="R108" s="1"/>
      <c r="S108" s="99">
        <v>-600.0</v>
      </c>
      <c r="T108" s="99">
        <v>-600.0</v>
      </c>
      <c r="U108" s="99">
        <v>-600.0</v>
      </c>
      <c r="V108" s="99">
        <v>0.0</v>
      </c>
      <c r="W108" s="99">
        <v>0.0</v>
      </c>
      <c r="X108" s="99">
        <v>0.0</v>
      </c>
      <c r="Y108" s="100">
        <v>0.0</v>
      </c>
      <c r="Z108" s="1"/>
      <c r="AA108" s="99">
        <v>0.0</v>
      </c>
      <c r="AB108" s="99">
        <v>0.0</v>
      </c>
      <c r="AC108" s="99">
        <v>0.0</v>
      </c>
      <c r="AD108" s="99">
        <v>0.0</v>
      </c>
      <c r="AE108" s="99">
        <v>0.0</v>
      </c>
      <c r="AF108" s="99">
        <v>0.0</v>
      </c>
      <c r="AG108" s="100">
        <v>0.0</v>
      </c>
      <c r="AH108" s="1"/>
      <c r="AI108" s="171">
        <f t="shared" ref="AI108:AO108" si="237">-C32</f>
        <v>-600</v>
      </c>
      <c r="AJ108" s="171">
        <f t="shared" si="237"/>
        <v>-600</v>
      </c>
      <c r="AK108" s="171">
        <f t="shared" si="237"/>
        <v>-600</v>
      </c>
      <c r="AL108" s="171">
        <f t="shared" si="237"/>
        <v>0</v>
      </c>
      <c r="AM108" s="171">
        <f t="shared" si="237"/>
        <v>0</v>
      </c>
      <c r="AN108" s="171">
        <f t="shared" si="237"/>
        <v>0</v>
      </c>
      <c r="AO108" s="171">
        <f t="shared" si="237"/>
        <v>0</v>
      </c>
      <c r="AP108" s="1"/>
      <c r="AQ108" s="159">
        <f t="shared" ref="AQ108:AW108" si="238">C108+K108+S108+AI108</f>
        <v>-2354</v>
      </c>
      <c r="AR108" s="159">
        <f t="shared" si="238"/>
        <v>-2354</v>
      </c>
      <c r="AS108" s="159">
        <f t="shared" si="238"/>
        <v>-2354</v>
      </c>
      <c r="AT108" s="159">
        <f t="shared" si="238"/>
        <v>0</v>
      </c>
      <c r="AU108" s="159">
        <f t="shared" si="238"/>
        <v>0</v>
      </c>
      <c r="AV108" s="159">
        <f t="shared" si="238"/>
        <v>0</v>
      </c>
      <c r="AW108" s="159">
        <f t="shared" si="238"/>
        <v>0</v>
      </c>
      <c r="AX108" s="160" t="s">
        <v>145</v>
      </c>
      <c r="AY108" s="199">
        <f>D69/D130</f>
        <v>6.306766917</v>
      </c>
      <c r="AZ108" s="199">
        <f>L69/L130</f>
        <v>1.455458868</v>
      </c>
      <c r="BA108" s="198" t="s">
        <v>20</v>
      </c>
      <c r="BB108" s="199">
        <f>AB69/AB130</f>
        <v>8.783470866</v>
      </c>
      <c r="BC108" s="199">
        <f>(D69+L69+T69+AB69)/(D130+L130+T130+AB130)</f>
        <v>3.175788742</v>
      </c>
      <c r="BD108" s="58"/>
      <c r="BE108" s="1"/>
      <c r="BF108" s="58"/>
      <c r="BG108" s="58"/>
      <c r="BH108" s="1"/>
      <c r="BI108" s="58"/>
      <c r="BJ108" s="58"/>
      <c r="BK108" s="58"/>
      <c r="BL108" s="58"/>
      <c r="BM108" s="58"/>
      <c r="BN108" s="1"/>
      <c r="BO108" s="103"/>
      <c r="BP108" s="103"/>
      <c r="BQ108" s="103"/>
      <c r="BR108" s="103"/>
      <c r="BS108" s="103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ht="19.5" customHeight="1">
      <c r="A109" s="1"/>
      <c r="B109" s="192" t="s">
        <v>146</v>
      </c>
      <c r="C109" s="99">
        <v>-7000.0</v>
      </c>
      <c r="D109" s="99">
        <v>-10000.0</v>
      </c>
      <c r="E109" s="99">
        <f t="shared" ref="E109:I109" si="239">-E151</f>
        <v>-18000</v>
      </c>
      <c r="F109" s="99">
        <f t="shared" si="239"/>
        <v>-22000</v>
      </c>
      <c r="G109" s="99">
        <f t="shared" si="239"/>
        <v>-27000</v>
      </c>
      <c r="H109" s="99">
        <f t="shared" si="239"/>
        <v>-34000</v>
      </c>
      <c r="I109" s="99">
        <f t="shared" si="239"/>
        <v>-41000</v>
      </c>
      <c r="J109" s="1"/>
      <c r="K109" s="99">
        <v>0.0</v>
      </c>
      <c r="L109" s="99">
        <v>0.0</v>
      </c>
      <c r="M109" s="99">
        <v>-8000.0</v>
      </c>
      <c r="N109" s="99">
        <v>-12000.0</v>
      </c>
      <c r="O109" s="99">
        <v>-18000.0</v>
      </c>
      <c r="P109" s="99">
        <v>-24000.0</v>
      </c>
      <c r="Q109" s="100">
        <v>-31000.0</v>
      </c>
      <c r="R109" s="1"/>
      <c r="S109" s="99">
        <v>0.0</v>
      </c>
      <c r="T109" s="99">
        <v>0.0</v>
      </c>
      <c r="U109" s="99">
        <v>0.0</v>
      </c>
      <c r="V109" s="99">
        <v>-1000.0</v>
      </c>
      <c r="W109" s="99">
        <v>-5000.0</v>
      </c>
      <c r="X109" s="99">
        <v>-15000.0</v>
      </c>
      <c r="Y109" s="100">
        <v>-30000.0</v>
      </c>
      <c r="Z109" s="1"/>
      <c r="AA109" s="99">
        <v>0.0</v>
      </c>
      <c r="AB109" s="99">
        <v>0.0</v>
      </c>
      <c r="AC109" s="99">
        <v>0.0</v>
      </c>
      <c r="AD109" s="99">
        <v>0.0</v>
      </c>
      <c r="AE109" s="99">
        <v>0.0</v>
      </c>
      <c r="AF109" s="99">
        <v>0.0</v>
      </c>
      <c r="AG109" s="100">
        <v>-3000.0</v>
      </c>
      <c r="AH109" s="1"/>
      <c r="AI109" s="158">
        <v>0.0</v>
      </c>
      <c r="AJ109" s="158">
        <v>0.0</v>
      </c>
      <c r="AK109" s="158">
        <v>0.0</v>
      </c>
      <c r="AL109" s="158">
        <v>0.0</v>
      </c>
      <c r="AM109" s="158">
        <v>0.0</v>
      </c>
      <c r="AN109" s="158">
        <v>0.0</v>
      </c>
      <c r="AO109" s="158">
        <v>0.0</v>
      </c>
      <c r="AP109" s="1"/>
      <c r="AQ109" s="159">
        <f t="shared" ref="AQ109:AW109" si="240">C109+K109+S109+AI109</f>
        <v>-7000</v>
      </c>
      <c r="AR109" s="159">
        <f t="shared" si="240"/>
        <v>-10000</v>
      </c>
      <c r="AS109" s="159">
        <f t="shared" si="240"/>
        <v>-26000</v>
      </c>
      <c r="AT109" s="159">
        <f t="shared" si="240"/>
        <v>-35000</v>
      </c>
      <c r="AU109" s="159">
        <f t="shared" si="240"/>
        <v>-50000</v>
      </c>
      <c r="AV109" s="159">
        <f t="shared" si="240"/>
        <v>-73000</v>
      </c>
      <c r="AW109" s="159">
        <f t="shared" si="240"/>
        <v>-102000</v>
      </c>
      <c r="AX109" s="160" t="s">
        <v>147</v>
      </c>
      <c r="AY109" s="199">
        <f>D42/D119</f>
        <v>0.7812092346</v>
      </c>
      <c r="AZ109" s="199">
        <f>L42/L119</f>
        <v>0.7967050507</v>
      </c>
      <c r="BA109" s="199">
        <f>T42/T119</f>
        <v>1.52312748</v>
      </c>
      <c r="BB109" s="199">
        <f>AB42/AB119</f>
        <v>1.679568983</v>
      </c>
      <c r="BC109" s="199">
        <f>(D42+L42+T42+AB42)/(D119+L119+T119+AB119)</f>
        <v>0.9020404913</v>
      </c>
      <c r="BD109" s="58"/>
      <c r="BE109" s="1"/>
      <c r="BF109" s="58"/>
      <c r="BG109" s="58"/>
      <c r="BH109" s="1"/>
      <c r="BI109" s="58"/>
      <c r="BJ109" s="58"/>
      <c r="BK109" s="58"/>
      <c r="BL109" s="58"/>
      <c r="BM109" s="58"/>
      <c r="BN109" s="1"/>
      <c r="BO109" s="103"/>
      <c r="BP109" s="103"/>
      <c r="BQ109" s="103"/>
      <c r="BR109" s="103"/>
      <c r="BS109" s="103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ht="19.5" customHeight="1">
      <c r="A110" s="1"/>
      <c r="B110" s="182" t="s">
        <v>148</v>
      </c>
      <c r="C110" s="200">
        <f t="shared" ref="C110:I110" si="241">SUM(C106:C109)</f>
        <v>-8418</v>
      </c>
      <c r="D110" s="200">
        <f t="shared" si="241"/>
        <v>-11417.83333</v>
      </c>
      <c r="E110" s="200">
        <f t="shared" si="241"/>
        <v>-19461.025</v>
      </c>
      <c r="F110" s="200">
        <f t="shared" si="241"/>
        <v>-22952.37625</v>
      </c>
      <c r="G110" s="200">
        <f t="shared" si="241"/>
        <v>-27999.99506</v>
      </c>
      <c r="H110" s="200">
        <f t="shared" si="241"/>
        <v>-35049.99482</v>
      </c>
      <c r="I110" s="200">
        <f t="shared" si="241"/>
        <v>-42102.49456</v>
      </c>
      <c r="J110" s="1"/>
      <c r="K110" s="84">
        <f t="shared" ref="K110:Q110" si="242">SUM(K106:K109)</f>
        <v>-778</v>
      </c>
      <c r="L110" s="84">
        <f t="shared" si="242"/>
        <v>-777.8705015</v>
      </c>
      <c r="M110" s="85">
        <f t="shared" si="242"/>
        <v>-8820.653379</v>
      </c>
      <c r="N110" s="85">
        <f t="shared" si="242"/>
        <v>-12865.78931</v>
      </c>
      <c r="O110" s="85">
        <f t="shared" si="242"/>
        <v>-18913.40773</v>
      </c>
      <c r="P110" s="85">
        <f t="shared" si="242"/>
        <v>-24963.64515</v>
      </c>
      <c r="Q110" s="85">
        <f t="shared" si="242"/>
        <v>-32016.64564</v>
      </c>
      <c r="R110" s="1"/>
      <c r="S110" s="200">
        <f t="shared" ref="S110:Y110" si="243">SUM(S106:S109)</f>
        <v>-1149</v>
      </c>
      <c r="T110" s="200">
        <f t="shared" si="243"/>
        <v>-1149</v>
      </c>
      <c r="U110" s="85">
        <f t="shared" si="243"/>
        <v>-1181.94</v>
      </c>
      <c r="V110" s="85">
        <f t="shared" si="243"/>
        <v>-1616.8564</v>
      </c>
      <c r="W110" s="85">
        <f t="shared" si="243"/>
        <v>-5653.867784</v>
      </c>
      <c r="X110" s="85">
        <f t="shared" si="243"/>
        <v>-15693.09985</v>
      </c>
      <c r="Y110" s="85">
        <f t="shared" si="243"/>
        <v>-30734.68584</v>
      </c>
      <c r="Z110" s="1"/>
      <c r="AA110" s="200">
        <f t="shared" ref="AA110:AG110" si="244">SUM(AA106:AA109)</f>
        <v>-200</v>
      </c>
      <c r="AB110" s="200">
        <f t="shared" si="244"/>
        <v>-200</v>
      </c>
      <c r="AC110" s="85">
        <f t="shared" si="244"/>
        <v>-208</v>
      </c>
      <c r="AD110" s="85">
        <f t="shared" si="244"/>
        <v>-216.32</v>
      </c>
      <c r="AE110" s="85">
        <f t="shared" si="244"/>
        <v>-224.9728</v>
      </c>
      <c r="AF110" s="85">
        <f t="shared" si="244"/>
        <v>-233.971712</v>
      </c>
      <c r="AG110" s="85">
        <f t="shared" si="244"/>
        <v>-3243.33058</v>
      </c>
      <c r="AH110" s="1"/>
      <c r="AI110" s="171">
        <f t="shared" ref="AI110:AO110" si="245">SUM(AI106:AI109)</f>
        <v>0</v>
      </c>
      <c r="AJ110" s="171">
        <f t="shared" si="245"/>
        <v>0</v>
      </c>
      <c r="AK110" s="171">
        <f t="shared" si="245"/>
        <v>0</v>
      </c>
      <c r="AL110" s="171">
        <f t="shared" si="245"/>
        <v>0</v>
      </c>
      <c r="AM110" s="171">
        <f t="shared" si="245"/>
        <v>0</v>
      </c>
      <c r="AN110" s="171">
        <f t="shared" si="245"/>
        <v>0</v>
      </c>
      <c r="AO110" s="171">
        <f t="shared" si="245"/>
        <v>0</v>
      </c>
      <c r="AP110" s="1"/>
      <c r="AQ110" s="187">
        <f t="shared" ref="AQ110:AW110" si="246">C110+K110+S110+AI110</f>
        <v>-10345</v>
      </c>
      <c r="AR110" s="187">
        <f t="shared" si="246"/>
        <v>-13344.70383</v>
      </c>
      <c r="AS110" s="187">
        <f t="shared" si="246"/>
        <v>-29463.61838</v>
      </c>
      <c r="AT110" s="187">
        <f t="shared" si="246"/>
        <v>-37435.02196</v>
      </c>
      <c r="AU110" s="187">
        <f t="shared" si="246"/>
        <v>-52567.27057</v>
      </c>
      <c r="AV110" s="187">
        <f t="shared" si="246"/>
        <v>-75706.73982</v>
      </c>
      <c r="AW110" s="187">
        <f t="shared" si="246"/>
        <v>-104853.826</v>
      </c>
      <c r="AX110" s="196" t="s">
        <v>149</v>
      </c>
      <c r="BD110" s="94"/>
      <c r="BE110" s="1"/>
      <c r="BF110" s="94"/>
      <c r="BG110" s="94"/>
      <c r="BH110" s="1"/>
      <c r="BI110" s="94"/>
      <c r="BJ110" s="94"/>
      <c r="BK110" s="94"/>
      <c r="BL110" s="94"/>
      <c r="BM110" s="94"/>
      <c r="BN110" s="1"/>
      <c r="BO110" s="95"/>
      <c r="BP110" s="95"/>
      <c r="BQ110" s="95"/>
      <c r="BR110" s="95"/>
      <c r="BS110" s="95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ht="19.5" customHeight="1">
      <c r="A111" s="1"/>
      <c r="B111" s="182" t="s">
        <v>150</v>
      </c>
      <c r="C111" s="84">
        <f t="shared" ref="C111:I111" si="247">C96+C102+C110</f>
        <v>14973.2</v>
      </c>
      <c r="D111" s="84">
        <f t="shared" si="247"/>
        <v>9023.4</v>
      </c>
      <c r="E111" s="84">
        <f t="shared" si="247"/>
        <v>646.9680161</v>
      </c>
      <c r="F111" s="84">
        <f t="shared" si="247"/>
        <v>-39.08766271</v>
      </c>
      <c r="G111" s="84">
        <f t="shared" si="247"/>
        <v>-236.7604603</v>
      </c>
      <c r="H111" s="84">
        <f t="shared" si="247"/>
        <v>-647.2003425</v>
      </c>
      <c r="I111" s="84">
        <f t="shared" si="247"/>
        <v>283.2830004</v>
      </c>
      <c r="J111" s="1"/>
      <c r="K111" s="84">
        <f t="shared" ref="K111:Q111" si="248">K96+K102+K110</f>
        <v>12102.8</v>
      </c>
      <c r="L111" s="84">
        <f t="shared" si="248"/>
        <v>12590.61979</v>
      </c>
      <c r="M111" s="84">
        <f t="shared" si="248"/>
        <v>6141.750638</v>
      </c>
      <c r="N111" s="84">
        <f t="shared" si="248"/>
        <v>6382.443574</v>
      </c>
      <c r="O111" s="84">
        <f t="shared" si="248"/>
        <v>5548.216491</v>
      </c>
      <c r="P111" s="84">
        <f t="shared" si="248"/>
        <v>5824.652401</v>
      </c>
      <c r="Q111" s="86">
        <f t="shared" si="248"/>
        <v>6433.438884</v>
      </c>
      <c r="R111" s="1"/>
      <c r="S111" s="84">
        <f t="shared" ref="S111:Y111" si="249">S96+S102+S110</f>
        <v>1914.8</v>
      </c>
      <c r="T111" s="84">
        <f t="shared" si="249"/>
        <v>1241.8</v>
      </c>
      <c r="U111" s="84">
        <f t="shared" si="249"/>
        <v>3607.736</v>
      </c>
      <c r="V111" s="84">
        <f t="shared" si="249"/>
        <v>8263.7502</v>
      </c>
      <c r="W111" s="84">
        <f t="shared" si="249"/>
        <v>10857.491</v>
      </c>
      <c r="X111" s="84">
        <f t="shared" si="249"/>
        <v>10613.22842</v>
      </c>
      <c r="Y111" s="86">
        <f t="shared" si="249"/>
        <v>9483.883439</v>
      </c>
      <c r="Z111" s="1"/>
      <c r="AA111" s="84">
        <f t="shared" ref="AA111:AG111" si="250">AA96+AA102+AA110</f>
        <v>3306</v>
      </c>
      <c r="AB111" s="84">
        <f t="shared" si="250"/>
        <v>2579.779</v>
      </c>
      <c r="AC111" s="84">
        <f t="shared" si="250"/>
        <v>2883.425517</v>
      </c>
      <c r="AD111" s="84">
        <f t="shared" si="250"/>
        <v>3462.240822</v>
      </c>
      <c r="AE111" s="84">
        <f t="shared" si="250"/>
        <v>4127.545024</v>
      </c>
      <c r="AF111" s="84">
        <f t="shared" si="250"/>
        <v>4890.617353</v>
      </c>
      <c r="AG111" s="86">
        <f t="shared" si="250"/>
        <v>2764.146444</v>
      </c>
      <c r="AH111" s="1"/>
      <c r="AI111" s="171">
        <f t="shared" ref="AI111:AO111" si="251">AI96+AI102+AI110</f>
        <v>0</v>
      </c>
      <c r="AJ111" s="171">
        <f t="shared" si="251"/>
        <v>0</v>
      </c>
      <c r="AK111" s="171">
        <f t="shared" si="251"/>
        <v>0</v>
      </c>
      <c r="AL111" s="171">
        <f t="shared" si="251"/>
        <v>0</v>
      </c>
      <c r="AM111" s="171">
        <f t="shared" si="251"/>
        <v>0</v>
      </c>
      <c r="AN111" s="171">
        <f t="shared" si="251"/>
        <v>0</v>
      </c>
      <c r="AO111" s="171">
        <f t="shared" si="251"/>
        <v>0</v>
      </c>
      <c r="AP111" s="1"/>
      <c r="AQ111" s="159">
        <f t="shared" ref="AQ111:AW111" si="252">C111+K111+S111+AI111</f>
        <v>28990.8</v>
      </c>
      <c r="AR111" s="159">
        <f t="shared" si="252"/>
        <v>22855.81979</v>
      </c>
      <c r="AS111" s="159">
        <f t="shared" si="252"/>
        <v>10396.45465</v>
      </c>
      <c r="AT111" s="159">
        <f t="shared" si="252"/>
        <v>14607.10611</v>
      </c>
      <c r="AU111" s="159">
        <f t="shared" si="252"/>
        <v>16168.94703</v>
      </c>
      <c r="AV111" s="159">
        <f t="shared" si="252"/>
        <v>15790.68048</v>
      </c>
      <c r="AW111" s="159">
        <f t="shared" si="252"/>
        <v>16200.60532</v>
      </c>
      <c r="AX111" s="160" t="s">
        <v>151</v>
      </c>
      <c r="AY111" s="198">
        <f>D135/D119</f>
        <v>0.8933501198</v>
      </c>
      <c r="AZ111" s="198">
        <f>L135/L119</f>
        <v>0.7008647782</v>
      </c>
      <c r="BA111" s="198">
        <f>T135/T119</f>
        <v>0.7119915675</v>
      </c>
      <c r="BB111" s="198">
        <f>AB135/AB119</f>
        <v>0.7155766996</v>
      </c>
      <c r="BC111" s="198">
        <f>(D135+L135+T135+AB135)/(D119+L119+T119+AB119)</f>
        <v>0.7926230572</v>
      </c>
      <c r="BD111" s="94"/>
      <c r="BE111" s="1"/>
      <c r="BF111" s="94"/>
      <c r="BG111" s="94"/>
      <c r="BH111" s="1"/>
      <c r="BI111" s="94"/>
      <c r="BJ111" s="94"/>
      <c r="BK111" s="94"/>
      <c r="BL111" s="94"/>
      <c r="BM111" s="94"/>
      <c r="BN111" s="1"/>
      <c r="BO111" s="95"/>
      <c r="BP111" s="95"/>
      <c r="BQ111" s="95"/>
      <c r="BR111" s="95"/>
      <c r="BS111" s="95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</row>
    <row r="112" ht="19.5" customHeight="1">
      <c r="A112" s="1"/>
      <c r="B112" s="201"/>
      <c r="C112" s="191"/>
      <c r="D112" s="191"/>
      <c r="E112" s="58"/>
      <c r="F112" s="191"/>
      <c r="G112" s="191"/>
      <c r="H112" s="191"/>
      <c r="I112" s="191"/>
      <c r="J112" s="1"/>
      <c r="K112" s="191"/>
      <c r="L112" s="191"/>
      <c r="M112" s="191"/>
      <c r="N112" s="191"/>
      <c r="O112" s="191"/>
      <c r="P112" s="191"/>
      <c r="Q112" s="191"/>
      <c r="R112" s="1"/>
      <c r="S112" s="191"/>
      <c r="T112" s="191"/>
      <c r="U112" s="191"/>
      <c r="V112" s="191"/>
      <c r="W112" s="191"/>
      <c r="X112" s="191"/>
      <c r="Y112" s="191"/>
      <c r="Z112" s="1"/>
      <c r="AA112" s="191"/>
      <c r="AB112" s="191"/>
      <c r="AC112" s="191"/>
      <c r="AD112" s="191"/>
      <c r="AE112" s="191"/>
      <c r="AF112" s="191"/>
      <c r="AG112" s="191"/>
      <c r="AH112" s="1"/>
      <c r="AI112" s="158" t="s">
        <v>20</v>
      </c>
      <c r="AJ112" s="158" t="s">
        <v>20</v>
      </c>
      <c r="AK112" s="158" t="s">
        <v>20</v>
      </c>
      <c r="AL112" s="158" t="s">
        <v>20</v>
      </c>
      <c r="AM112" s="158" t="s">
        <v>20</v>
      </c>
      <c r="AN112" s="158" t="s">
        <v>20</v>
      </c>
      <c r="AO112" s="158" t="s">
        <v>20</v>
      </c>
      <c r="AP112" s="1"/>
      <c r="AQ112" s="163" t="s">
        <v>20</v>
      </c>
      <c r="AR112" s="163" t="s">
        <v>20</v>
      </c>
      <c r="AS112" s="163" t="s">
        <v>20</v>
      </c>
      <c r="AT112" s="163" t="s">
        <v>20</v>
      </c>
      <c r="AU112" s="163" t="s">
        <v>20</v>
      </c>
      <c r="AV112" s="163" t="s">
        <v>20</v>
      </c>
      <c r="AW112" s="163" t="s">
        <v>20</v>
      </c>
      <c r="AX112" s="198" t="s">
        <v>152</v>
      </c>
      <c r="AY112" s="199">
        <f>(D143+D146)/D71</f>
        <v>0.3524840828</v>
      </c>
      <c r="AZ112" s="199">
        <f>(L143+L146)/L71</f>
        <v>1.411407972</v>
      </c>
      <c r="BA112" s="198">
        <f>(T143+T146)/T71</f>
        <v>6.943198804</v>
      </c>
      <c r="BB112" s="199">
        <f>(AB143+AB146)/AB71</f>
        <v>0.7923512453</v>
      </c>
      <c r="BC112" s="199">
        <f>(D143+L143+T143+AB143+D146+L146+T146+AB146)/(D71+L71+T71+AB71)</f>
        <v>0.8650562251</v>
      </c>
      <c r="BD112" s="191"/>
      <c r="BE112" s="1"/>
      <c r="BF112" s="191"/>
      <c r="BG112" s="191"/>
      <c r="BH112" s="1"/>
      <c r="BI112" s="191"/>
      <c r="BJ112" s="191"/>
      <c r="BK112" s="191"/>
      <c r="BL112" s="191"/>
      <c r="BM112" s="191"/>
      <c r="BN112" s="1"/>
      <c r="BO112" s="103"/>
      <c r="BP112" s="103"/>
      <c r="BQ112" s="103"/>
      <c r="BR112" s="103"/>
      <c r="BS112" s="103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</row>
    <row r="113" ht="19.5" customHeight="1">
      <c r="A113" s="113"/>
      <c r="B113" s="202" t="s">
        <v>153</v>
      </c>
      <c r="C113" s="123">
        <f t="shared" ref="C113:I113" si="253">C81+C111</f>
        <v>14982.2</v>
      </c>
      <c r="D113" s="123">
        <f t="shared" si="253"/>
        <v>9686</v>
      </c>
      <c r="E113" s="123">
        <f t="shared" si="253"/>
        <v>10332.96802</v>
      </c>
      <c r="F113" s="123">
        <f t="shared" si="253"/>
        <v>10293.88035</v>
      </c>
      <c r="G113" s="123">
        <f t="shared" si="253"/>
        <v>10057.11989</v>
      </c>
      <c r="H113" s="123">
        <f t="shared" si="253"/>
        <v>9409.91955</v>
      </c>
      <c r="I113" s="123">
        <f t="shared" si="253"/>
        <v>9693.202551</v>
      </c>
      <c r="J113" s="203"/>
      <c r="K113" s="123">
        <f t="shared" ref="K113:Q113" si="254">K81+K111</f>
        <v>12894</v>
      </c>
      <c r="L113" s="123">
        <f t="shared" si="254"/>
        <v>13010.30886</v>
      </c>
      <c r="M113" s="123">
        <f t="shared" si="254"/>
        <v>19152.0595</v>
      </c>
      <c r="N113" s="123">
        <f t="shared" si="254"/>
        <v>25534.50307</v>
      </c>
      <c r="O113" s="123">
        <f t="shared" si="254"/>
        <v>31082.71956</v>
      </c>
      <c r="P113" s="123">
        <f t="shared" si="254"/>
        <v>36907.37196</v>
      </c>
      <c r="Q113" s="94">
        <f t="shared" si="254"/>
        <v>43340.81085</v>
      </c>
      <c r="R113" s="1"/>
      <c r="S113" s="123">
        <f t="shared" ref="S113:Y113" si="255">S81+S111</f>
        <v>2188</v>
      </c>
      <c r="T113" s="123">
        <f t="shared" si="255"/>
        <v>1282</v>
      </c>
      <c r="U113" s="123">
        <f t="shared" si="255"/>
        <v>4889.736</v>
      </c>
      <c r="V113" s="123">
        <f t="shared" si="255"/>
        <v>13153.4862</v>
      </c>
      <c r="W113" s="123">
        <f t="shared" si="255"/>
        <v>24010.9772</v>
      </c>
      <c r="X113" s="123">
        <f t="shared" si="255"/>
        <v>34624.20563</v>
      </c>
      <c r="Y113" s="94">
        <f t="shared" si="255"/>
        <v>44108.08907</v>
      </c>
      <c r="Z113" s="1"/>
      <c r="AA113" s="123">
        <f t="shared" ref="AA113:AG113" si="256">AA81+AA111</f>
        <v>3450</v>
      </c>
      <c r="AB113" s="123">
        <f t="shared" si="256"/>
        <v>3023.816222</v>
      </c>
      <c r="AC113" s="123">
        <f t="shared" si="256"/>
        <v>5907.24174</v>
      </c>
      <c r="AD113" s="123">
        <f t="shared" si="256"/>
        <v>9369.482561</v>
      </c>
      <c r="AE113" s="123">
        <f t="shared" si="256"/>
        <v>13497.02759</v>
      </c>
      <c r="AF113" s="123">
        <f t="shared" si="256"/>
        <v>18387.64494</v>
      </c>
      <c r="AG113" s="94">
        <f t="shared" si="256"/>
        <v>21151.79138</v>
      </c>
      <c r="AH113" s="1"/>
      <c r="AI113" s="171">
        <f t="shared" ref="AI113:AO113" si="257">AI81+AI111</f>
        <v>0</v>
      </c>
      <c r="AJ113" s="171">
        <f t="shared" si="257"/>
        <v>0</v>
      </c>
      <c r="AK113" s="171">
        <f t="shared" si="257"/>
        <v>0</v>
      </c>
      <c r="AL113" s="171">
        <f t="shared" si="257"/>
        <v>0</v>
      </c>
      <c r="AM113" s="171">
        <f t="shared" si="257"/>
        <v>0</v>
      </c>
      <c r="AN113" s="171">
        <f t="shared" si="257"/>
        <v>0</v>
      </c>
      <c r="AO113" s="171">
        <f t="shared" si="257"/>
        <v>0</v>
      </c>
      <c r="AP113" s="1"/>
      <c r="AQ113" s="159">
        <f t="shared" ref="AQ113:AW113" si="258">C113+K113+S113+AI113</f>
        <v>30064.2</v>
      </c>
      <c r="AR113" s="159">
        <f t="shared" si="258"/>
        <v>23978.30886</v>
      </c>
      <c r="AS113" s="159">
        <f t="shared" si="258"/>
        <v>34374.76352</v>
      </c>
      <c r="AT113" s="159">
        <f t="shared" si="258"/>
        <v>48981.86963</v>
      </c>
      <c r="AU113" s="159">
        <f t="shared" si="258"/>
        <v>65150.81666</v>
      </c>
      <c r="AV113" s="159">
        <f t="shared" si="258"/>
        <v>80941.49714</v>
      </c>
      <c r="AW113" s="159">
        <f t="shared" si="258"/>
        <v>97142.10247</v>
      </c>
      <c r="AX113" s="196" t="s">
        <v>154</v>
      </c>
      <c r="BD113" s="94"/>
      <c r="BE113" s="1"/>
      <c r="BF113" s="94"/>
      <c r="BG113" s="94"/>
      <c r="BH113" s="1"/>
      <c r="BI113" s="94"/>
      <c r="BJ113" s="94"/>
      <c r="BK113" s="94"/>
      <c r="BL113" s="94"/>
      <c r="BM113" s="94"/>
      <c r="BN113" s="1"/>
      <c r="BO113" s="95"/>
      <c r="BP113" s="95"/>
      <c r="BQ113" s="95"/>
      <c r="BR113" s="95"/>
      <c r="BS113" s="95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</row>
    <row r="114" ht="19.5" customHeight="1">
      <c r="A114" s="1"/>
      <c r="B114" s="162"/>
      <c r="C114" s="204"/>
      <c r="D114" s="204"/>
      <c r="E114" s="204"/>
      <c r="F114" s="204"/>
      <c r="G114" s="204"/>
      <c r="H114" s="204"/>
      <c r="I114" s="204"/>
      <c r="J114" s="36"/>
      <c r="K114" s="204"/>
      <c r="L114" s="204"/>
      <c r="M114" s="204"/>
      <c r="N114" s="204"/>
      <c r="O114" s="204"/>
      <c r="P114" s="204"/>
      <c r="Q114" s="204"/>
      <c r="R114" s="36"/>
      <c r="S114" s="204"/>
      <c r="T114" s="204"/>
      <c r="U114" s="204"/>
      <c r="V114" s="204"/>
      <c r="W114" s="204"/>
      <c r="X114" s="204"/>
      <c r="Y114" s="204"/>
      <c r="Z114" s="36"/>
      <c r="AA114" s="204"/>
      <c r="AB114" s="204"/>
      <c r="AC114" s="204"/>
      <c r="AD114" s="204"/>
      <c r="AE114" s="204"/>
      <c r="AF114" s="204"/>
      <c r="AG114" s="204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60" t="s">
        <v>155</v>
      </c>
      <c r="AY114" s="198">
        <f>D129/D146</f>
        <v>2.104163038</v>
      </c>
      <c r="AZ114" s="198">
        <f>L129/L146</f>
        <v>2.35784154</v>
      </c>
      <c r="BA114" s="198">
        <f>T129/T146</f>
        <v>2.352293578</v>
      </c>
      <c r="BB114" s="198">
        <f>AB129/AB146</f>
        <v>2.362211608</v>
      </c>
      <c r="BC114" s="198">
        <f>(D129+L129+T129+AB129)/(D146+L146+T146+AB146)</f>
        <v>2.263158242</v>
      </c>
      <c r="BD114" s="204"/>
      <c r="BE114" s="1"/>
      <c r="BF114" s="204"/>
      <c r="BG114" s="204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</row>
    <row r="115" ht="19.5" customHeight="1">
      <c r="A115" s="1"/>
      <c r="B115" s="1"/>
      <c r="C115" s="205"/>
      <c r="D115" s="205"/>
      <c r="E115" s="205"/>
      <c r="F115" s="205"/>
      <c r="G115" s="206"/>
      <c r="H115" s="206"/>
      <c r="I115" s="206"/>
      <c r="J115" s="1"/>
      <c r="K115" s="205"/>
      <c r="L115" s="205"/>
      <c r="M115" s="205"/>
      <c r="N115" s="205"/>
      <c r="O115" s="205"/>
      <c r="P115" s="205"/>
      <c r="Q115" s="205"/>
      <c r="R115" s="1"/>
      <c r="S115" s="205"/>
      <c r="T115" s="205"/>
      <c r="U115" s="205"/>
      <c r="V115" s="205"/>
      <c r="W115" s="205"/>
      <c r="X115" s="205"/>
      <c r="Y115" s="205"/>
      <c r="Z115" s="1"/>
      <c r="AA115" s="1"/>
      <c r="AB115" s="205"/>
      <c r="AC115" s="205"/>
      <c r="AD115" s="205"/>
      <c r="AE115" s="205"/>
      <c r="AF115" s="205"/>
      <c r="AG115" s="205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46" t="s">
        <v>156</v>
      </c>
      <c r="AY115" s="207">
        <f>(D113+D130)/D146</f>
        <v>2.104163038</v>
      </c>
      <c r="AZ115" s="207">
        <f>(L113+L130)/L146</f>
        <v>2.35784154</v>
      </c>
      <c r="BA115" s="207">
        <f>(T113+T130)/T146</f>
        <v>2.352293578</v>
      </c>
      <c r="BB115" s="207">
        <f>(AB113+AB130)/AB146</f>
        <v>2.362211608</v>
      </c>
      <c r="BC115" s="198">
        <f>(D113+L113+T113+AB113+D130+L130+T130+AB130)/(D146+L146+T146+AB146)</f>
        <v>2.263158242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</row>
    <row r="116" ht="19.5" customHeight="1">
      <c r="A116" s="1"/>
      <c r="B116" s="8" t="s">
        <v>157</v>
      </c>
      <c r="C116" s="1"/>
      <c r="D116" s="28"/>
      <c r="E116" s="1"/>
      <c r="F116" s="1"/>
      <c r="G116" s="203"/>
      <c r="H116" s="203"/>
      <c r="I116" s="203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46" t="s">
        <v>158</v>
      </c>
      <c r="AY116" s="207">
        <f>(D113)/D146</f>
        <v>1.687162515</v>
      </c>
      <c r="AZ116" s="207">
        <f>(L113)/L146</f>
        <v>1.684018889</v>
      </c>
      <c r="BA116" s="207">
        <f>(T113)/T146</f>
        <v>2.352293578</v>
      </c>
      <c r="BB116" s="207">
        <f>(AB113)/AB146</f>
        <v>2.256890294</v>
      </c>
      <c r="BC116" s="198">
        <f>(D113+L113+T113+AB113)/(D146+L146+T146+AB146)</f>
        <v>1.758916734</v>
      </c>
      <c r="BD116" s="1"/>
      <c r="BE116" s="1"/>
      <c r="BF116" s="1"/>
      <c r="BG116" s="1"/>
      <c r="BH116" s="1"/>
      <c r="BI116" s="50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</row>
    <row r="117" ht="19.5" customHeight="1">
      <c r="A117" s="1"/>
      <c r="B117" s="67"/>
      <c r="C117" s="9" t="s">
        <v>1</v>
      </c>
      <c r="D117" s="10"/>
      <c r="E117" s="10"/>
      <c r="F117" s="10"/>
      <c r="G117" s="10"/>
      <c r="H117" s="10"/>
      <c r="I117" s="11"/>
      <c r="J117" s="1"/>
      <c r="K117" s="9" t="s">
        <v>2</v>
      </c>
      <c r="L117" s="10"/>
      <c r="M117" s="10"/>
      <c r="N117" s="10"/>
      <c r="O117" s="10"/>
      <c r="P117" s="10"/>
      <c r="Q117" s="11"/>
      <c r="R117" s="1"/>
      <c r="S117" s="9" t="s">
        <v>3</v>
      </c>
      <c r="T117" s="10"/>
      <c r="U117" s="10"/>
      <c r="V117" s="10"/>
      <c r="W117" s="10"/>
      <c r="X117" s="10"/>
      <c r="Y117" s="11"/>
      <c r="Z117" s="1"/>
      <c r="AA117" s="9" t="s">
        <v>4</v>
      </c>
      <c r="AB117" s="10"/>
      <c r="AC117" s="10"/>
      <c r="AD117" s="10"/>
      <c r="AE117" s="10"/>
      <c r="AF117" s="10"/>
      <c r="AG117" s="11"/>
      <c r="AH117" s="1"/>
      <c r="AI117" s="208" t="s">
        <v>42</v>
      </c>
      <c r="AJ117" s="69"/>
      <c r="AK117" s="69"/>
      <c r="AL117" s="69"/>
      <c r="AM117" s="69"/>
      <c r="AN117" s="69"/>
      <c r="AO117" s="69"/>
      <c r="AP117" s="1"/>
      <c r="AQ117" s="209" t="s">
        <v>43</v>
      </c>
      <c r="AR117" s="69"/>
      <c r="AS117" s="69"/>
      <c r="AT117" s="69"/>
      <c r="AU117" s="69"/>
      <c r="AV117" s="69"/>
      <c r="AW117" s="69"/>
      <c r="AX117" s="210" t="s">
        <v>159</v>
      </c>
      <c r="BD117" s="39"/>
      <c r="BE117" s="1"/>
      <c r="BF117" s="39"/>
      <c r="BH117" s="1"/>
      <c r="BI117" s="74"/>
      <c r="BN117" s="1"/>
      <c r="BO117" s="74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</row>
    <row r="118" ht="19.5" customHeight="1">
      <c r="A118" s="1"/>
      <c r="B118" s="13"/>
      <c r="C118" s="13" t="s">
        <v>46</v>
      </c>
      <c r="D118" s="13" t="s">
        <v>47</v>
      </c>
      <c r="E118" s="14" t="s">
        <v>160</v>
      </c>
      <c r="F118" s="14" t="s">
        <v>161</v>
      </c>
      <c r="G118" s="14" t="s">
        <v>162</v>
      </c>
      <c r="H118" s="14" t="s">
        <v>163</v>
      </c>
      <c r="I118" s="14" t="s">
        <v>164</v>
      </c>
      <c r="J118" s="1"/>
      <c r="K118" s="13" t="s">
        <v>46</v>
      </c>
      <c r="L118" s="13" t="s">
        <v>47</v>
      </c>
      <c r="M118" s="14" t="s">
        <v>160</v>
      </c>
      <c r="N118" s="14" t="s">
        <v>161</v>
      </c>
      <c r="O118" s="14" t="s">
        <v>162</v>
      </c>
      <c r="P118" s="14" t="s">
        <v>163</v>
      </c>
      <c r="Q118" s="14" t="s">
        <v>164</v>
      </c>
      <c r="R118" s="1"/>
      <c r="S118" s="13" t="s">
        <v>46</v>
      </c>
      <c r="T118" s="13" t="s">
        <v>47</v>
      </c>
      <c r="U118" s="14" t="s">
        <v>160</v>
      </c>
      <c r="V118" s="14" t="s">
        <v>161</v>
      </c>
      <c r="W118" s="14" t="s">
        <v>162</v>
      </c>
      <c r="X118" s="14" t="s">
        <v>163</v>
      </c>
      <c r="Y118" s="14" t="s">
        <v>164</v>
      </c>
      <c r="Z118" s="1"/>
      <c r="AA118" s="13" t="s">
        <v>46</v>
      </c>
      <c r="AB118" s="13" t="s">
        <v>47</v>
      </c>
      <c r="AC118" s="14" t="s">
        <v>160</v>
      </c>
      <c r="AD118" s="14" t="s">
        <v>161</v>
      </c>
      <c r="AE118" s="14" t="s">
        <v>162</v>
      </c>
      <c r="AF118" s="14" t="s">
        <v>163</v>
      </c>
      <c r="AG118" s="14" t="s">
        <v>164</v>
      </c>
      <c r="AH118" s="1"/>
      <c r="AI118" s="211" t="s">
        <v>46</v>
      </c>
      <c r="AJ118" s="211" t="s">
        <v>47</v>
      </c>
      <c r="AK118" s="212">
        <v>46022.0</v>
      </c>
      <c r="AL118" s="212">
        <v>46387.0</v>
      </c>
      <c r="AM118" s="212">
        <v>46752.0</v>
      </c>
      <c r="AN118" s="212">
        <v>47118.0</v>
      </c>
      <c r="AO118" s="212">
        <v>47483.0</v>
      </c>
      <c r="AP118" s="1"/>
      <c r="AQ118" s="213" t="s">
        <v>46</v>
      </c>
      <c r="AR118" s="213" t="s">
        <v>47</v>
      </c>
      <c r="AS118" s="214">
        <v>46022.0</v>
      </c>
      <c r="AT118" s="214">
        <v>46387.0</v>
      </c>
      <c r="AU118" s="214">
        <v>46752.0</v>
      </c>
      <c r="AV118" s="214">
        <v>47118.0</v>
      </c>
      <c r="AW118" s="214">
        <v>47483.0</v>
      </c>
      <c r="AX118" s="215" t="s">
        <v>165</v>
      </c>
      <c r="AY118" s="151">
        <f>D52/D42</f>
        <v>0.662828628</v>
      </c>
      <c r="AZ118" s="151">
        <f>L52/L42</f>
        <v>0.53</v>
      </c>
      <c r="BA118" s="151">
        <f>T52/T42</f>
        <v>0.3737431305</v>
      </c>
      <c r="BB118" s="151">
        <f>AB52/AB42</f>
        <v>0.6939914822</v>
      </c>
      <c r="BC118" s="151">
        <f>(D52+L52+T52+AB52)/(D42+L42+T42+AB42)</f>
        <v>0.5638063834</v>
      </c>
      <c r="BD118" s="39"/>
      <c r="BE118" s="1"/>
      <c r="BF118" s="39"/>
      <c r="BG118" s="39"/>
      <c r="BH118" s="1"/>
      <c r="BI118" s="39"/>
      <c r="BJ118" s="39"/>
      <c r="BK118" s="39"/>
      <c r="BL118" s="39"/>
      <c r="BM118" s="39"/>
      <c r="BN118" s="1"/>
      <c r="BO118" s="39"/>
      <c r="BP118" s="39"/>
      <c r="BQ118" s="39"/>
      <c r="BR118" s="39"/>
      <c r="BS118" s="39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</row>
    <row r="119" ht="19.5" customHeight="1">
      <c r="A119" s="1"/>
      <c r="B119" s="216" t="s">
        <v>166</v>
      </c>
      <c r="C119" s="217">
        <f t="shared" ref="C119:I119" si="259">C120+C129</f>
        <v>68329</v>
      </c>
      <c r="D119" s="217">
        <f t="shared" si="259"/>
        <v>65926</v>
      </c>
      <c r="E119" s="218">
        <f t="shared" si="259"/>
        <v>65144.985</v>
      </c>
      <c r="F119" s="218">
        <f t="shared" si="259"/>
        <v>65824.9175</v>
      </c>
      <c r="G119" s="218">
        <f t="shared" si="259"/>
        <v>66718.70258</v>
      </c>
      <c r="H119" s="218">
        <f t="shared" si="259"/>
        <v>66939.89339</v>
      </c>
      <c r="I119" s="219">
        <f t="shared" si="259"/>
        <v>67795.02743</v>
      </c>
      <c r="J119" s="1"/>
      <c r="K119" s="218">
        <f t="shared" ref="K119:Q119" si="260">K120+K129</f>
        <v>54020</v>
      </c>
      <c r="L119" s="218">
        <f t="shared" si="260"/>
        <v>54242.19141</v>
      </c>
      <c r="M119" s="218">
        <f t="shared" si="260"/>
        <v>57817.48337</v>
      </c>
      <c r="N119" s="218">
        <f t="shared" si="260"/>
        <v>61489.56313</v>
      </c>
      <c r="O119" s="218">
        <f t="shared" si="260"/>
        <v>64175.5618</v>
      </c>
      <c r="P119" s="218">
        <f t="shared" si="260"/>
        <v>66977.75587</v>
      </c>
      <c r="Q119" s="219">
        <f t="shared" si="260"/>
        <v>70219.64775</v>
      </c>
      <c r="R119" s="1"/>
      <c r="S119" s="218">
        <f t="shared" ref="S119:Y119" si="261">S120+S129</f>
        <v>16951</v>
      </c>
      <c r="T119" s="218">
        <f t="shared" si="261"/>
        <v>16128</v>
      </c>
      <c r="U119" s="218">
        <f t="shared" si="261"/>
        <v>19070.056</v>
      </c>
      <c r="V119" s="218">
        <f t="shared" si="261"/>
        <v>26628.1854</v>
      </c>
      <c r="W119" s="218">
        <f t="shared" si="261"/>
        <v>36737.71836</v>
      </c>
      <c r="X119" s="218">
        <f t="shared" si="261"/>
        <v>46558.11125</v>
      </c>
      <c r="Y119" s="219">
        <f t="shared" si="261"/>
        <v>55201.58903</v>
      </c>
      <c r="Z119" s="1"/>
      <c r="AA119" s="218">
        <f t="shared" ref="AA119:AG119" si="262">AA120+AA129</f>
        <v>5106</v>
      </c>
      <c r="AB119" s="218">
        <f t="shared" si="262"/>
        <v>4710.638444</v>
      </c>
      <c r="AC119" s="218">
        <f t="shared" si="262"/>
        <v>7446.76934</v>
      </c>
      <c r="AD119" s="218">
        <f t="shared" si="262"/>
        <v>10755.82375</v>
      </c>
      <c r="AE119" s="218">
        <f t="shared" si="262"/>
        <v>14724.05492</v>
      </c>
      <c r="AF119" s="218">
        <f t="shared" si="262"/>
        <v>19448.98585</v>
      </c>
      <c r="AG119" s="219">
        <f t="shared" si="262"/>
        <v>22040.81842</v>
      </c>
      <c r="AH119" s="1"/>
      <c r="AI119" s="220">
        <f t="shared" ref="AI119:AO119" si="263">AI120+AI129</f>
        <v>0</v>
      </c>
      <c r="AJ119" s="220">
        <f t="shared" si="263"/>
        <v>0</v>
      </c>
      <c r="AK119" s="220">
        <f t="shared" si="263"/>
        <v>0</v>
      </c>
      <c r="AL119" s="220">
        <f t="shared" si="263"/>
        <v>0</v>
      </c>
      <c r="AM119" s="220">
        <f t="shared" si="263"/>
        <v>0</v>
      </c>
      <c r="AN119" s="220">
        <f t="shared" si="263"/>
        <v>0</v>
      </c>
      <c r="AO119" s="220">
        <f t="shared" si="263"/>
        <v>0</v>
      </c>
      <c r="AP119" s="1"/>
      <c r="AQ119" s="221">
        <f t="shared" ref="AQ119:AW119" si="264">AQ120+AQ129</f>
        <v>135911</v>
      </c>
      <c r="AR119" s="221">
        <f t="shared" si="264"/>
        <v>132826.7582</v>
      </c>
      <c r="AS119" s="221">
        <f t="shared" si="264"/>
        <v>139683.9305</v>
      </c>
      <c r="AT119" s="221">
        <f t="shared" si="264"/>
        <v>152286.7884</v>
      </c>
      <c r="AU119" s="221">
        <f t="shared" si="264"/>
        <v>166866.5745</v>
      </c>
      <c r="AV119" s="221">
        <f t="shared" si="264"/>
        <v>180827.8316</v>
      </c>
      <c r="AW119" s="221">
        <f t="shared" si="264"/>
        <v>194045.885</v>
      </c>
      <c r="AX119" s="222" t="s">
        <v>167</v>
      </c>
      <c r="AY119" s="198">
        <f>D71/D42</f>
        <v>0.3873053474</v>
      </c>
      <c r="AZ119" s="199">
        <f>L71/L42</f>
        <v>0.2660219152</v>
      </c>
      <c r="BA119" s="199">
        <f>T71/T42</f>
        <v>0.02723386933</v>
      </c>
      <c r="BB119" s="199">
        <f>AB71/AB42</f>
        <v>0.2137221729</v>
      </c>
      <c r="BC119" s="151">
        <f>(D71+L71+T71+AB71)/(D42+L42+T42+AB42)</f>
        <v>0.2657602962</v>
      </c>
      <c r="BD119" s="94"/>
      <c r="BE119" s="1"/>
      <c r="BF119" s="94"/>
      <c r="BG119" s="94"/>
      <c r="BH119" s="1"/>
      <c r="BI119" s="94"/>
      <c r="BJ119" s="94"/>
      <c r="BK119" s="94"/>
      <c r="BL119" s="94"/>
      <c r="BM119" s="94"/>
      <c r="BN119" s="1"/>
      <c r="BO119" s="95"/>
      <c r="BP119" s="95"/>
      <c r="BQ119" s="95"/>
      <c r="BR119" s="95"/>
      <c r="BS119" s="95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</row>
    <row r="120" ht="19.5" customHeight="1">
      <c r="A120" s="1"/>
      <c r="B120" s="223" t="s">
        <v>168</v>
      </c>
      <c r="C120" s="83">
        <f t="shared" ref="C120:I120" si="265">SUM(C121:C124)</f>
        <v>51046.8</v>
      </c>
      <c r="D120" s="83">
        <f t="shared" si="265"/>
        <v>53846</v>
      </c>
      <c r="E120" s="84">
        <f t="shared" si="265"/>
        <v>52057.4</v>
      </c>
      <c r="F120" s="84">
        <f t="shared" si="265"/>
        <v>50809.37</v>
      </c>
      <c r="G120" s="84">
        <f t="shared" si="265"/>
        <v>49498.9385</v>
      </c>
      <c r="H120" s="84">
        <f t="shared" si="265"/>
        <v>48122.98543</v>
      </c>
      <c r="I120" s="86">
        <f t="shared" si="265"/>
        <v>46678.2347</v>
      </c>
      <c r="J120" s="1"/>
      <c r="K120" s="84">
        <f t="shared" ref="K120:Q120" si="266">SUM(K121:K124)</f>
        <v>35926</v>
      </c>
      <c r="L120" s="84">
        <f t="shared" si="266"/>
        <v>36026.09723</v>
      </c>
      <c r="M120" s="84">
        <f t="shared" si="266"/>
        <v>33395.08681</v>
      </c>
      <c r="N120" s="84">
        <f t="shared" si="266"/>
        <v>30619.37082</v>
      </c>
      <c r="O120" s="84">
        <f t="shared" si="266"/>
        <v>27690.99045</v>
      </c>
      <c r="P120" s="84">
        <f t="shared" si="266"/>
        <v>24601.54916</v>
      </c>
      <c r="Q120" s="86">
        <f t="shared" si="266"/>
        <v>21342.1886</v>
      </c>
      <c r="R120" s="1"/>
      <c r="S120" s="84">
        <f t="shared" ref="S120:Y120" si="267">SUM(S121:S124)</f>
        <v>14763</v>
      </c>
      <c r="T120" s="84">
        <f t="shared" si="267"/>
        <v>14846</v>
      </c>
      <c r="U120" s="84">
        <f t="shared" si="267"/>
        <v>14180.32</v>
      </c>
      <c r="V120" s="84">
        <f t="shared" si="267"/>
        <v>13474.6992</v>
      </c>
      <c r="W120" s="84">
        <f t="shared" si="267"/>
        <v>12726.74115</v>
      </c>
      <c r="X120" s="84">
        <f t="shared" si="267"/>
        <v>11933.90562</v>
      </c>
      <c r="Y120" s="86">
        <f t="shared" si="267"/>
        <v>11093.49996</v>
      </c>
      <c r="Z120" s="1"/>
      <c r="AA120" s="84">
        <f t="shared" ref="AA120:AG120" si="268">SUM(AA121:AA124)</f>
        <v>1556</v>
      </c>
      <c r="AB120" s="84">
        <f t="shared" si="268"/>
        <v>1545.711111</v>
      </c>
      <c r="AC120" s="84">
        <f t="shared" si="268"/>
        <v>1398.416489</v>
      </c>
      <c r="AD120" s="84">
        <f t="shared" si="268"/>
        <v>1245.230082</v>
      </c>
      <c r="AE120" s="84">
        <f t="shared" si="268"/>
        <v>1085.916218</v>
      </c>
      <c r="AF120" s="84">
        <f t="shared" si="268"/>
        <v>920.2298005</v>
      </c>
      <c r="AG120" s="86">
        <f t="shared" si="268"/>
        <v>747.9159258</v>
      </c>
      <c r="AH120" s="1"/>
      <c r="AI120" s="224">
        <v>0.0</v>
      </c>
      <c r="AJ120" s="224">
        <v>0.0</v>
      </c>
      <c r="AK120" s="224">
        <v>0.0</v>
      </c>
      <c r="AL120" s="224">
        <v>0.0</v>
      </c>
      <c r="AM120" s="224">
        <v>0.0</v>
      </c>
      <c r="AN120" s="224">
        <v>0.0</v>
      </c>
      <c r="AO120" s="224">
        <v>0.0</v>
      </c>
      <c r="AP120" s="1"/>
      <c r="AQ120" s="225">
        <f t="shared" ref="AQ120:AW120" si="269">SUM(AQ121:AQ124)</f>
        <v>98346.8</v>
      </c>
      <c r="AR120" s="225">
        <f t="shared" si="269"/>
        <v>101248.664</v>
      </c>
      <c r="AS120" s="225">
        <f t="shared" si="269"/>
        <v>97284.2129</v>
      </c>
      <c r="AT120" s="225">
        <f t="shared" si="269"/>
        <v>93247.56243</v>
      </c>
      <c r="AU120" s="225">
        <f t="shared" si="269"/>
        <v>89151.26186</v>
      </c>
      <c r="AV120" s="225">
        <f t="shared" si="269"/>
        <v>85010.51124</v>
      </c>
      <c r="AW120" s="225">
        <f t="shared" si="269"/>
        <v>79943.54406</v>
      </c>
      <c r="AX120" s="196" t="s">
        <v>169</v>
      </c>
      <c r="BD120" s="94"/>
      <c r="BE120" s="1"/>
      <c r="BF120" s="94"/>
      <c r="BG120" s="94"/>
      <c r="BH120" s="1"/>
      <c r="BI120" s="94"/>
      <c r="BJ120" s="94"/>
      <c r="BK120" s="94"/>
      <c r="BL120" s="94"/>
      <c r="BM120" s="94"/>
      <c r="BN120" s="1"/>
      <c r="BO120" s="95"/>
      <c r="BP120" s="95"/>
      <c r="BQ120" s="95"/>
      <c r="BR120" s="95"/>
      <c r="BS120" s="95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</row>
    <row r="121" ht="19.5" customHeight="1">
      <c r="A121" s="1"/>
      <c r="B121" s="226" t="s">
        <v>124</v>
      </c>
      <c r="C121" s="227">
        <v>36499.8</v>
      </c>
      <c r="D121" s="227">
        <v>36163.0</v>
      </c>
      <c r="E121" s="227">
        <v>35721.81799999999</v>
      </c>
      <c r="F121" s="227">
        <v>34810.267026</v>
      </c>
      <c r="G121" s="227">
        <v>33593.845953882</v>
      </c>
      <c r="H121" s="227">
        <v>32330.860858365075</v>
      </c>
      <c r="I121" s="228">
        <v>31224.22048598038</v>
      </c>
      <c r="J121" s="1"/>
      <c r="K121" s="200">
        <v>3826.0</v>
      </c>
      <c r="L121" s="200">
        <v>3825.903448275862</v>
      </c>
      <c r="M121" s="227">
        <v>3067.881403019487</v>
      </c>
      <c r="N121" s="227">
        <v>2310.533087139009</v>
      </c>
      <c r="O121" s="227">
        <v>1554.622452262045</v>
      </c>
      <c r="P121" s="227">
        <v>799.9990811464324</v>
      </c>
      <c r="Q121" s="228">
        <v>45.545514219780216</v>
      </c>
      <c r="R121" s="1"/>
      <c r="S121" s="200">
        <v>7563.0</v>
      </c>
      <c r="T121" s="200">
        <v>7563.0</v>
      </c>
      <c r="U121" s="227">
        <v>7052.990999999999</v>
      </c>
      <c r="V121" s="227">
        <v>6577.347346999995</v>
      </c>
      <c r="W121" s="227">
        <v>6133.477428678996</v>
      </c>
      <c r="X121" s="227">
        <v>5719.6542379018065</v>
      </c>
      <c r="Y121" s="228">
        <v>5333.96338464739</v>
      </c>
      <c r="Z121" s="1"/>
      <c r="AA121" s="200">
        <v>926.0</v>
      </c>
      <c r="AB121" s="200">
        <v>925.1555555555509</v>
      </c>
      <c r="AC121" s="227">
        <v>778.7448222222193</v>
      </c>
      <c r="AD121" s="227">
        <v>626.4042967777746</v>
      </c>
      <c r="AE121" s="227">
        <v>467.8999421372198</v>
      </c>
      <c r="AF121" s="227">
        <v>302.98822408438207</v>
      </c>
      <c r="AG121" s="228">
        <v>131.41573721950937</v>
      </c>
      <c r="AH121" s="1"/>
      <c r="AI121" s="224">
        <v>0.0</v>
      </c>
      <c r="AJ121" s="224">
        <v>0.0</v>
      </c>
      <c r="AK121" s="224">
        <v>0.0</v>
      </c>
      <c r="AL121" s="224">
        <v>0.0</v>
      </c>
      <c r="AM121" s="224">
        <v>0.0</v>
      </c>
      <c r="AN121" s="224">
        <v>0.0</v>
      </c>
      <c r="AO121" s="224">
        <v>0.0</v>
      </c>
      <c r="AP121" s="1"/>
      <c r="AQ121" s="225">
        <f t="shared" ref="AQ121:AW121" si="270">C121+K121+S121+AI121</f>
        <v>47888.8</v>
      </c>
      <c r="AR121" s="225">
        <f t="shared" si="270"/>
        <v>47551.90345</v>
      </c>
      <c r="AS121" s="225">
        <f t="shared" si="270"/>
        <v>45842.6904</v>
      </c>
      <c r="AT121" s="225">
        <f t="shared" si="270"/>
        <v>43698.14746</v>
      </c>
      <c r="AU121" s="225">
        <f t="shared" si="270"/>
        <v>41281.94583</v>
      </c>
      <c r="AV121" s="225">
        <f t="shared" si="270"/>
        <v>38850.51418</v>
      </c>
      <c r="AW121" s="225">
        <f t="shared" si="270"/>
        <v>36603.72938</v>
      </c>
      <c r="AX121" s="215" t="s">
        <v>170</v>
      </c>
      <c r="AY121" s="151">
        <f>(D135+D143)/D133</f>
        <v>0.9129175136</v>
      </c>
      <c r="AZ121" s="151">
        <f>(L135+L143)/L133</f>
        <v>0.8575693615</v>
      </c>
      <c r="BA121" s="151">
        <f>(T135+T143)/T133</f>
        <v>0.9662078373</v>
      </c>
      <c r="BB121" s="151">
        <f>(AB135+AB143)/AB133</f>
        <v>0.7155766996</v>
      </c>
      <c r="BC121" s="151">
        <f>(D143+L143+T143+AB143+D135+L135+T135+AB135)/(D133+L133+T133+AB133)</f>
        <v>0.891128924</v>
      </c>
      <c r="BD121" s="94"/>
      <c r="BE121" s="1"/>
      <c r="BF121" s="94"/>
      <c r="BG121" s="94"/>
      <c r="BH121" s="1"/>
      <c r="BI121" s="94"/>
      <c r="BJ121" s="94"/>
      <c r="BK121" s="94"/>
      <c r="BL121" s="94"/>
      <c r="BM121" s="94"/>
      <c r="BN121" s="1"/>
      <c r="BO121" s="95"/>
      <c r="BP121" s="95"/>
      <c r="BQ121" s="95"/>
      <c r="BR121" s="95"/>
      <c r="BS121" s="95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</row>
    <row r="122" ht="19.5" customHeight="1">
      <c r="A122" s="1"/>
      <c r="B122" s="226" t="s">
        <v>171</v>
      </c>
      <c r="C122" s="83">
        <v>9990.0</v>
      </c>
      <c r="D122" s="83">
        <v>13126.0</v>
      </c>
      <c r="E122" s="83">
        <v>11778.582</v>
      </c>
      <c r="F122" s="83">
        <v>11442.102974</v>
      </c>
      <c r="G122" s="83">
        <v>11348.092546118</v>
      </c>
      <c r="H122" s="83">
        <v>11235.124566634926</v>
      </c>
      <c r="I122" s="85">
        <v>10897.014210269625</v>
      </c>
      <c r="J122" s="1"/>
      <c r="K122" s="84">
        <v>31600.0</v>
      </c>
      <c r="L122" s="84">
        <v>31700.19378319007</v>
      </c>
      <c r="M122" s="83">
        <v>29827.205410181472</v>
      </c>
      <c r="N122" s="83">
        <v>27808.837734792363</v>
      </c>
      <c r="O122" s="83">
        <v>25636.367998879905</v>
      </c>
      <c r="P122" s="83">
        <v>23301.5500788127</v>
      </c>
      <c r="Q122" s="85">
        <v>20796.64308354146</v>
      </c>
      <c r="R122" s="1"/>
      <c r="S122" s="84">
        <v>6500.0</v>
      </c>
      <c r="T122" s="84">
        <v>6597.0</v>
      </c>
      <c r="U122" s="83">
        <v>6441.329</v>
      </c>
      <c r="V122" s="83">
        <v>6211.351852999999</v>
      </c>
      <c r="W122" s="83">
        <v>5907.263723320999</v>
      </c>
      <c r="X122" s="83">
        <v>5528.251383218196</v>
      </c>
      <c r="Y122" s="85">
        <v>5073.536573739813</v>
      </c>
      <c r="Z122" s="1"/>
      <c r="AA122" s="84">
        <v>30.0</v>
      </c>
      <c r="AB122" s="84">
        <v>20.555555555555557</v>
      </c>
      <c r="AC122" s="83">
        <v>19.671666666666667</v>
      </c>
      <c r="AD122" s="83">
        <v>18.825785</v>
      </c>
      <c r="AE122" s="83">
        <v>18.016276245</v>
      </c>
      <c r="AF122" s="83">
        <v>17.241576366465</v>
      </c>
      <c r="AG122" s="85">
        <v>16.500188582707004</v>
      </c>
      <c r="AH122" s="1"/>
      <c r="AI122" s="224">
        <v>0.0</v>
      </c>
      <c r="AJ122" s="224">
        <v>0.0</v>
      </c>
      <c r="AK122" s="224">
        <v>0.0</v>
      </c>
      <c r="AL122" s="224">
        <v>0.0</v>
      </c>
      <c r="AM122" s="224">
        <v>0.0</v>
      </c>
      <c r="AN122" s="224">
        <v>0.0</v>
      </c>
      <c r="AO122" s="224">
        <v>0.0</v>
      </c>
      <c r="AP122" s="1"/>
      <c r="AQ122" s="225">
        <f t="shared" ref="AQ122:AW122" si="271">C122+K122+S122+AI122</f>
        <v>48090</v>
      </c>
      <c r="AR122" s="225">
        <f t="shared" si="271"/>
        <v>51423.19378</v>
      </c>
      <c r="AS122" s="225">
        <f t="shared" si="271"/>
        <v>48047.11641</v>
      </c>
      <c r="AT122" s="225">
        <f t="shared" si="271"/>
        <v>45462.29256</v>
      </c>
      <c r="AU122" s="225">
        <f t="shared" si="271"/>
        <v>42891.72427</v>
      </c>
      <c r="AV122" s="225">
        <f t="shared" si="271"/>
        <v>40064.92603</v>
      </c>
      <c r="AW122" s="225">
        <f t="shared" si="271"/>
        <v>36767.19387</v>
      </c>
      <c r="AX122" s="222" t="s">
        <v>172</v>
      </c>
      <c r="AY122" s="229">
        <f>(D129-D146)/D129</f>
        <v>0.5247516556</v>
      </c>
      <c r="AZ122" s="230">
        <f>(L129-L146)/L129</f>
        <v>0.5758832886</v>
      </c>
      <c r="BA122" s="230">
        <f>(T129-T146)/T129</f>
        <v>0.5748829953</v>
      </c>
      <c r="BB122" s="199">
        <f>(AB129-AB146)/AB129</f>
        <v>0.5766679003</v>
      </c>
      <c r="BC122" s="231">
        <f>(D129+L129+T129+AB129-D146-L146-T146-AB146)/(D129+L129+T129+AB129)</f>
        <v>0.5581396027</v>
      </c>
      <c r="BD122" s="94"/>
      <c r="BE122" s="1"/>
      <c r="BF122" s="94"/>
      <c r="BG122" s="94"/>
      <c r="BH122" s="1"/>
      <c r="BI122" s="94"/>
      <c r="BJ122" s="94"/>
      <c r="BK122" s="94"/>
      <c r="BL122" s="94"/>
      <c r="BM122" s="94"/>
      <c r="BN122" s="1"/>
      <c r="BO122" s="95"/>
      <c r="BP122" s="95"/>
      <c r="BQ122" s="95"/>
      <c r="BR122" s="95"/>
      <c r="BS122" s="95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</row>
    <row r="123" ht="19.5" customHeight="1">
      <c r="A123" s="1"/>
      <c r="B123" s="226" t="s">
        <v>128</v>
      </c>
      <c r="C123" s="83">
        <v>1042.0</v>
      </c>
      <c r="D123" s="83">
        <v>1042.0</v>
      </c>
      <c r="E123" s="83">
        <v>1042.0</v>
      </c>
      <c r="F123" s="83">
        <v>1042.0</v>
      </c>
      <c r="G123" s="83">
        <v>1042.0</v>
      </c>
      <c r="H123" s="83">
        <v>1042.0</v>
      </c>
      <c r="I123" s="85">
        <v>1042.0</v>
      </c>
      <c r="J123" s="1"/>
      <c r="K123" s="84">
        <v>500.0</v>
      </c>
      <c r="L123" s="84">
        <v>500.0</v>
      </c>
      <c r="M123" s="83">
        <v>500.0</v>
      </c>
      <c r="N123" s="83">
        <v>500.0</v>
      </c>
      <c r="O123" s="83">
        <v>500.0</v>
      </c>
      <c r="P123" s="83">
        <v>500.0</v>
      </c>
      <c r="Q123" s="85">
        <v>500.0</v>
      </c>
      <c r="R123" s="1"/>
      <c r="S123" s="84">
        <v>700.0</v>
      </c>
      <c r="T123" s="84">
        <v>686.0</v>
      </c>
      <c r="U123" s="83">
        <v>686.0</v>
      </c>
      <c r="V123" s="83">
        <v>686.0</v>
      </c>
      <c r="W123" s="83">
        <v>686.0</v>
      </c>
      <c r="X123" s="83">
        <v>686.0</v>
      </c>
      <c r="Y123" s="85">
        <v>686.0</v>
      </c>
      <c r="Z123" s="1"/>
      <c r="AA123" s="84">
        <v>600.0</v>
      </c>
      <c r="AB123" s="84">
        <v>600.0</v>
      </c>
      <c r="AC123" s="83">
        <v>600.0</v>
      </c>
      <c r="AD123" s="83">
        <v>600.0</v>
      </c>
      <c r="AE123" s="83">
        <v>600.0</v>
      </c>
      <c r="AF123" s="83">
        <v>600.0</v>
      </c>
      <c r="AG123" s="85">
        <v>600.0</v>
      </c>
      <c r="AH123" s="1"/>
      <c r="AI123" s="232">
        <f t="shared" ref="AI123:AJ123" si="272">-AI106</f>
        <v>-600</v>
      </c>
      <c r="AJ123" s="232">
        <f t="shared" si="272"/>
        <v>-600</v>
      </c>
      <c r="AK123" s="224">
        <v>0.0</v>
      </c>
      <c r="AL123" s="224">
        <v>0.0</v>
      </c>
      <c r="AM123" s="224">
        <v>0.0</v>
      </c>
      <c r="AN123" s="224">
        <v>0.0</v>
      </c>
      <c r="AO123" s="224">
        <v>0.0</v>
      </c>
      <c r="AP123" s="1"/>
      <c r="AQ123" s="225">
        <f t="shared" ref="AQ123:AW123" si="273">C123+K123+S123+AI123</f>
        <v>1642</v>
      </c>
      <c r="AR123" s="225">
        <f t="shared" si="273"/>
        <v>1628</v>
      </c>
      <c r="AS123" s="225">
        <f t="shared" si="273"/>
        <v>2228</v>
      </c>
      <c r="AT123" s="225">
        <f t="shared" si="273"/>
        <v>2228</v>
      </c>
      <c r="AU123" s="225">
        <f t="shared" si="273"/>
        <v>2228</v>
      </c>
      <c r="AV123" s="225">
        <f t="shared" si="273"/>
        <v>2228</v>
      </c>
      <c r="AW123" s="225">
        <f t="shared" si="273"/>
        <v>2228</v>
      </c>
      <c r="AX123" s="222" t="s">
        <v>173</v>
      </c>
      <c r="AY123" s="230">
        <f>(D129-D146)/D135</f>
        <v>0.1076322268</v>
      </c>
      <c r="AZ123" s="230">
        <f>(L129-L146)/L135</f>
        <v>0.2759422982</v>
      </c>
      <c r="BA123" s="199">
        <f>(T129-T146)/T135</f>
        <v>0.06418183402</v>
      </c>
      <c r="BB123" s="230">
        <f>(AB129-AB146)/AB135</f>
        <v>0.5414440153</v>
      </c>
      <c r="BC123" s="231">
        <f>(D129+L129+T129+AB129-D146-L146-T146-AB146)/(D135+L135+T135+AB135)</f>
        <v>0.1735016358</v>
      </c>
      <c r="BD123" s="94"/>
      <c r="BE123" s="1"/>
      <c r="BF123" s="94"/>
      <c r="BG123" s="94"/>
      <c r="BH123" s="1"/>
      <c r="BI123" s="94"/>
      <c r="BJ123" s="94"/>
      <c r="BK123" s="94"/>
      <c r="BL123" s="94"/>
      <c r="BM123" s="94"/>
      <c r="BN123" s="1"/>
      <c r="BO123" s="95"/>
      <c r="BP123" s="95"/>
      <c r="BQ123" s="95"/>
      <c r="BR123" s="95"/>
      <c r="BS123" s="95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</row>
    <row r="124" ht="19.5" customHeight="1">
      <c r="A124" s="1"/>
      <c r="B124" s="226" t="s">
        <v>174</v>
      </c>
      <c r="C124" s="83">
        <v>3515.0</v>
      </c>
      <c r="D124" s="83">
        <v>3515.0</v>
      </c>
      <c r="E124" s="83">
        <v>3515.0</v>
      </c>
      <c r="F124" s="83">
        <v>3515.0</v>
      </c>
      <c r="G124" s="83">
        <v>3515.0</v>
      </c>
      <c r="H124" s="83">
        <v>3515.0</v>
      </c>
      <c r="I124" s="85">
        <v>3515.0</v>
      </c>
      <c r="J124" s="1"/>
      <c r="K124" s="84">
        <v>0.0</v>
      </c>
      <c r="L124" s="84">
        <v>0.0</v>
      </c>
      <c r="M124" s="83">
        <v>0.0</v>
      </c>
      <c r="N124" s="83">
        <v>0.0</v>
      </c>
      <c r="O124" s="83">
        <v>0.0</v>
      </c>
      <c r="P124" s="83">
        <v>0.0</v>
      </c>
      <c r="Q124" s="85">
        <v>0.0</v>
      </c>
      <c r="R124" s="1"/>
      <c r="S124" s="84">
        <v>0.0</v>
      </c>
      <c r="T124" s="84">
        <v>0.0</v>
      </c>
      <c r="U124" s="83">
        <v>0.0</v>
      </c>
      <c r="V124" s="83">
        <v>0.0</v>
      </c>
      <c r="W124" s="83">
        <v>0.0</v>
      </c>
      <c r="X124" s="83">
        <v>0.0</v>
      </c>
      <c r="Y124" s="85">
        <v>0.0</v>
      </c>
      <c r="Z124" s="1"/>
      <c r="AA124" s="84">
        <v>0.0</v>
      </c>
      <c r="AB124" s="84">
        <v>0.0</v>
      </c>
      <c r="AC124" s="83">
        <v>0.0</v>
      </c>
      <c r="AD124" s="83">
        <v>0.0</v>
      </c>
      <c r="AE124" s="83">
        <v>0.0</v>
      </c>
      <c r="AF124" s="83">
        <v>0.0</v>
      </c>
      <c r="AG124" s="85">
        <v>0.0</v>
      </c>
      <c r="AH124" s="1"/>
      <c r="AI124" s="224">
        <v>0.0</v>
      </c>
      <c r="AJ124" s="224">
        <v>0.0</v>
      </c>
      <c r="AK124" s="224">
        <v>0.0</v>
      </c>
      <c r="AL124" s="224">
        <v>0.0</v>
      </c>
      <c r="AM124" s="224">
        <v>0.0</v>
      </c>
      <c r="AN124" s="224">
        <v>0.0</v>
      </c>
      <c r="AO124" s="224">
        <v>0.0</v>
      </c>
      <c r="AP124" s="1"/>
      <c r="AQ124" s="225">
        <f t="shared" ref="AQ124:AW124" si="274">AQ127</f>
        <v>726</v>
      </c>
      <c r="AR124" s="225">
        <f t="shared" si="274"/>
        <v>645.5668139</v>
      </c>
      <c r="AS124" s="225">
        <f t="shared" si="274"/>
        <v>1166.406082</v>
      </c>
      <c r="AT124" s="225">
        <f t="shared" si="274"/>
        <v>1859.122407</v>
      </c>
      <c r="AU124" s="225">
        <f t="shared" si="274"/>
        <v>2749.591755</v>
      </c>
      <c r="AV124" s="225">
        <f t="shared" si="274"/>
        <v>3867.071036</v>
      </c>
      <c r="AW124" s="225">
        <f t="shared" si="274"/>
        <v>4344.620807</v>
      </c>
      <c r="BD124" s="94"/>
      <c r="BE124" s="1"/>
      <c r="BF124" s="94"/>
      <c r="BG124" s="94"/>
      <c r="BH124" s="1"/>
      <c r="BI124" s="94"/>
      <c r="BJ124" s="94"/>
      <c r="BK124" s="94"/>
      <c r="BL124" s="94"/>
      <c r="BM124" s="94"/>
      <c r="BN124" s="1"/>
      <c r="BO124" s="95"/>
      <c r="BP124" s="95"/>
      <c r="BQ124" s="95"/>
      <c r="BR124" s="95"/>
      <c r="BS124" s="95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</row>
    <row r="125" ht="19.5" customHeight="1">
      <c r="A125" s="1"/>
      <c r="B125" s="233" t="s">
        <v>175</v>
      </c>
      <c r="C125" s="234">
        <v>2000.0</v>
      </c>
      <c r="D125" s="234">
        <v>2000.0</v>
      </c>
      <c r="E125" s="234">
        <v>2000.0</v>
      </c>
      <c r="F125" s="234">
        <v>2000.0</v>
      </c>
      <c r="G125" s="234">
        <v>2000.0</v>
      </c>
      <c r="H125" s="234">
        <v>2000.0</v>
      </c>
      <c r="I125" s="235">
        <v>2000.0</v>
      </c>
      <c r="J125" s="1"/>
      <c r="K125" s="234">
        <v>0.0</v>
      </c>
      <c r="L125" s="234">
        <v>0.0</v>
      </c>
      <c r="M125" s="236">
        <v>0.0</v>
      </c>
      <c r="N125" s="236">
        <v>0.0</v>
      </c>
      <c r="O125" s="236">
        <v>0.0</v>
      </c>
      <c r="P125" s="236">
        <v>0.0</v>
      </c>
      <c r="Q125" s="235">
        <v>0.0</v>
      </c>
      <c r="R125" s="1"/>
      <c r="S125" s="234">
        <v>0.0</v>
      </c>
      <c r="T125" s="234">
        <v>0.0</v>
      </c>
      <c r="U125" s="236">
        <v>0.0</v>
      </c>
      <c r="V125" s="236">
        <v>0.0</v>
      </c>
      <c r="W125" s="236">
        <v>0.0</v>
      </c>
      <c r="X125" s="236">
        <v>0.0</v>
      </c>
      <c r="Y125" s="235">
        <v>0.0</v>
      </c>
      <c r="Z125" s="1"/>
      <c r="AA125" s="234">
        <v>0.0</v>
      </c>
      <c r="AB125" s="234">
        <v>0.0</v>
      </c>
      <c r="AC125" s="236">
        <v>0.0</v>
      </c>
      <c r="AD125" s="236">
        <v>0.0</v>
      </c>
      <c r="AE125" s="236">
        <v>0.0</v>
      </c>
      <c r="AF125" s="236">
        <v>0.0</v>
      </c>
      <c r="AG125" s="235">
        <v>0.0</v>
      </c>
      <c r="AH125" s="1"/>
      <c r="AI125" s="224">
        <v>0.0</v>
      </c>
      <c r="AJ125" s="224">
        <v>0.0</v>
      </c>
      <c r="AK125" s="224">
        <v>0.0</v>
      </c>
      <c r="AL125" s="224">
        <v>0.0</v>
      </c>
      <c r="AM125" s="224">
        <v>0.0</v>
      </c>
      <c r="AN125" s="224">
        <v>0.0</v>
      </c>
      <c r="AO125" s="224">
        <v>0.0</v>
      </c>
      <c r="AP125" s="1"/>
      <c r="AQ125" s="237" t="s">
        <v>20</v>
      </c>
      <c r="AR125" s="237" t="s">
        <v>20</v>
      </c>
      <c r="AS125" s="237" t="s">
        <v>20</v>
      </c>
      <c r="AT125" s="237" t="s">
        <v>20</v>
      </c>
      <c r="AU125" s="237" t="s">
        <v>20</v>
      </c>
      <c r="AV125" s="237" t="s">
        <v>20</v>
      </c>
      <c r="AW125" s="237" t="s">
        <v>20</v>
      </c>
      <c r="BD125" s="58"/>
      <c r="BE125" s="1"/>
      <c r="BF125" s="58"/>
      <c r="BG125" s="58"/>
      <c r="BH125" s="1"/>
      <c r="BI125" s="58"/>
      <c r="BJ125" s="58"/>
      <c r="BK125" s="58"/>
      <c r="BL125" s="58"/>
      <c r="BM125" s="58"/>
      <c r="BN125" s="1"/>
      <c r="BO125" s="103"/>
      <c r="BP125" s="103"/>
      <c r="BQ125" s="103"/>
      <c r="BR125" s="103"/>
      <c r="BS125" s="103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ht="19.5" customHeight="1">
      <c r="A126" s="1"/>
      <c r="B126" s="233" t="s">
        <v>176</v>
      </c>
      <c r="C126" s="234">
        <v>1500.0</v>
      </c>
      <c r="D126" s="234">
        <v>1500.0</v>
      </c>
      <c r="E126" s="236">
        <v>1500.0</v>
      </c>
      <c r="F126" s="236">
        <v>1500.0</v>
      </c>
      <c r="G126" s="236">
        <v>1500.0</v>
      </c>
      <c r="H126" s="236">
        <v>1500.0</v>
      </c>
      <c r="I126" s="235">
        <v>1500.0</v>
      </c>
      <c r="J126" s="1"/>
      <c r="K126" s="234">
        <v>0.0</v>
      </c>
      <c r="L126" s="234">
        <v>0.0</v>
      </c>
      <c r="M126" s="236">
        <v>0.0</v>
      </c>
      <c r="N126" s="236">
        <v>0.0</v>
      </c>
      <c r="O126" s="236">
        <v>0.0</v>
      </c>
      <c r="P126" s="236">
        <v>0.0</v>
      </c>
      <c r="Q126" s="235">
        <v>0.0</v>
      </c>
      <c r="R126" s="1"/>
      <c r="S126" s="234">
        <v>0.0</v>
      </c>
      <c r="T126" s="234">
        <v>0.0</v>
      </c>
      <c r="U126" s="236">
        <v>0.0</v>
      </c>
      <c r="V126" s="236">
        <v>0.0</v>
      </c>
      <c r="W126" s="236">
        <v>0.0</v>
      </c>
      <c r="X126" s="236">
        <v>0.0</v>
      </c>
      <c r="Y126" s="235">
        <v>0.0</v>
      </c>
      <c r="Z126" s="1"/>
      <c r="AA126" s="234">
        <v>0.0</v>
      </c>
      <c r="AB126" s="234">
        <v>0.0</v>
      </c>
      <c r="AC126" s="236">
        <v>0.0</v>
      </c>
      <c r="AD126" s="236">
        <v>0.0</v>
      </c>
      <c r="AE126" s="236">
        <v>0.0</v>
      </c>
      <c r="AF126" s="236">
        <v>0.0</v>
      </c>
      <c r="AG126" s="235">
        <v>0.0</v>
      </c>
      <c r="AH126" s="1"/>
      <c r="AI126" s="224">
        <v>0.0</v>
      </c>
      <c r="AJ126" s="224">
        <v>0.0</v>
      </c>
      <c r="AK126" s="224">
        <v>0.0</v>
      </c>
      <c r="AL126" s="224">
        <v>0.0</v>
      </c>
      <c r="AM126" s="224">
        <v>0.0</v>
      </c>
      <c r="AN126" s="224">
        <v>0.0</v>
      </c>
      <c r="AO126" s="224">
        <v>0.0</v>
      </c>
      <c r="AP126" s="1"/>
      <c r="AQ126" s="237" t="s">
        <v>20</v>
      </c>
      <c r="AR126" s="237" t="s">
        <v>20</v>
      </c>
      <c r="AS126" s="237" t="s">
        <v>20</v>
      </c>
      <c r="AT126" s="237" t="s">
        <v>20</v>
      </c>
      <c r="AU126" s="237" t="s">
        <v>20</v>
      </c>
      <c r="AV126" s="237" t="s">
        <v>20</v>
      </c>
      <c r="AW126" s="237" t="s">
        <v>20</v>
      </c>
      <c r="AX126" s="238"/>
      <c r="BD126" s="58"/>
      <c r="BE126" s="1"/>
      <c r="BF126" s="58"/>
      <c r="BG126" s="58"/>
      <c r="BH126" s="1"/>
      <c r="BI126" s="58"/>
      <c r="BJ126" s="58"/>
      <c r="BK126" s="58"/>
      <c r="BL126" s="58"/>
      <c r="BM126" s="58"/>
      <c r="BN126" s="1"/>
      <c r="BO126" s="103"/>
      <c r="BP126" s="103"/>
      <c r="BQ126" s="103"/>
      <c r="BR126" s="103"/>
      <c r="BS126" s="103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</row>
    <row r="127" ht="19.5" customHeight="1">
      <c r="A127" s="1"/>
      <c r="B127" s="233" t="s">
        <v>177</v>
      </c>
      <c r="C127" s="234">
        <v>15.0</v>
      </c>
      <c r="D127" s="234">
        <v>15.0</v>
      </c>
      <c r="E127" s="236">
        <v>15.0</v>
      </c>
      <c r="F127" s="236">
        <v>15.0</v>
      </c>
      <c r="G127" s="236">
        <v>15.0</v>
      </c>
      <c r="H127" s="236">
        <v>15.0</v>
      </c>
      <c r="I127" s="235">
        <v>15.0</v>
      </c>
      <c r="J127" s="1"/>
      <c r="K127" s="234">
        <v>0.0</v>
      </c>
      <c r="L127" s="234">
        <v>0.0</v>
      </c>
      <c r="M127" s="236">
        <v>0.0</v>
      </c>
      <c r="N127" s="236">
        <v>0.0</v>
      </c>
      <c r="O127" s="236">
        <v>0.0</v>
      </c>
      <c r="P127" s="236">
        <v>0.0</v>
      </c>
      <c r="Q127" s="235">
        <v>0.0</v>
      </c>
      <c r="R127" s="1"/>
      <c r="S127" s="234">
        <v>0.0</v>
      </c>
      <c r="T127" s="234">
        <v>0.0</v>
      </c>
      <c r="U127" s="236">
        <v>0.0</v>
      </c>
      <c r="V127" s="236">
        <v>0.0</v>
      </c>
      <c r="W127" s="236">
        <v>0.0</v>
      </c>
      <c r="X127" s="236">
        <v>0.0</v>
      </c>
      <c r="Y127" s="235">
        <v>0.0</v>
      </c>
      <c r="Z127" s="1"/>
      <c r="AA127" s="234">
        <v>0.0</v>
      </c>
      <c r="AB127" s="234">
        <v>0.0</v>
      </c>
      <c r="AC127" s="236">
        <v>0.0</v>
      </c>
      <c r="AD127" s="236">
        <v>0.0</v>
      </c>
      <c r="AE127" s="236">
        <v>0.0</v>
      </c>
      <c r="AF127" s="236">
        <v>0.0</v>
      </c>
      <c r="AG127" s="235">
        <v>0.0</v>
      </c>
      <c r="AH127" s="1"/>
      <c r="AI127" s="224">
        <v>0.0</v>
      </c>
      <c r="AJ127" s="224">
        <v>0.0</v>
      </c>
      <c r="AK127" s="224">
        <v>0.0</v>
      </c>
      <c r="AL127" s="224">
        <v>0.0</v>
      </c>
      <c r="AM127" s="224">
        <v>0.0</v>
      </c>
      <c r="AN127" s="224">
        <v>0.0</v>
      </c>
      <c r="AO127" s="224">
        <v>0.0</v>
      </c>
      <c r="AP127" s="1"/>
      <c r="AQ127" s="225">
        <f t="shared" ref="AQ127:AW127" si="275">0.3*(AA136+AA138)+(C127-0.3*(AA136+AA139))</f>
        <v>726</v>
      </c>
      <c r="AR127" s="225">
        <f t="shared" si="275"/>
        <v>645.5668139</v>
      </c>
      <c r="AS127" s="225">
        <f t="shared" si="275"/>
        <v>1166.406082</v>
      </c>
      <c r="AT127" s="225">
        <f t="shared" si="275"/>
        <v>1859.122407</v>
      </c>
      <c r="AU127" s="225">
        <f t="shared" si="275"/>
        <v>2749.591755</v>
      </c>
      <c r="AV127" s="225">
        <f t="shared" si="275"/>
        <v>3867.071036</v>
      </c>
      <c r="AW127" s="225">
        <f t="shared" si="275"/>
        <v>4344.620807</v>
      </c>
      <c r="AY127" s="58"/>
      <c r="AZ127" s="58"/>
      <c r="BA127" s="58"/>
      <c r="BB127" s="58"/>
      <c r="BC127" s="58"/>
      <c r="BD127" s="58"/>
      <c r="BE127" s="1"/>
      <c r="BF127" s="58"/>
      <c r="BG127" s="58"/>
      <c r="BH127" s="1"/>
      <c r="BI127" s="58"/>
      <c r="BJ127" s="58"/>
      <c r="BK127" s="58"/>
      <c r="BL127" s="58"/>
      <c r="BM127" s="58"/>
      <c r="BN127" s="1"/>
      <c r="BO127" s="103"/>
      <c r="BP127" s="103"/>
      <c r="BQ127" s="103"/>
      <c r="BR127" s="103"/>
      <c r="BS127" s="103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</row>
    <row r="128" ht="19.5" customHeight="1">
      <c r="A128" s="1"/>
      <c r="B128" s="239"/>
      <c r="C128" s="240"/>
      <c r="D128" s="240"/>
      <c r="E128" s="240"/>
      <c r="F128" s="240"/>
      <c r="G128" s="240"/>
      <c r="H128" s="240"/>
      <c r="I128" s="240"/>
      <c r="J128" s="1"/>
      <c r="K128" s="240"/>
      <c r="L128" s="240"/>
      <c r="M128" s="240"/>
      <c r="N128" s="240"/>
      <c r="O128" s="240"/>
      <c r="P128" s="240"/>
      <c r="Q128" s="240"/>
      <c r="R128" s="1"/>
      <c r="S128" s="240"/>
      <c r="T128" s="240"/>
      <c r="U128" s="240"/>
      <c r="V128" s="240"/>
      <c r="W128" s="240"/>
      <c r="X128" s="240"/>
      <c r="Y128" s="240"/>
      <c r="Z128" s="1"/>
      <c r="AA128" s="240"/>
      <c r="AB128" s="240"/>
      <c r="AC128" s="240"/>
      <c r="AD128" s="240"/>
      <c r="AE128" s="240"/>
      <c r="AF128" s="240"/>
      <c r="AG128" s="240"/>
      <c r="AH128" s="1"/>
      <c r="AI128" s="224">
        <v>0.0</v>
      </c>
      <c r="AJ128" s="224">
        <v>0.0</v>
      </c>
      <c r="AK128" s="224">
        <v>0.0</v>
      </c>
      <c r="AL128" s="224">
        <v>0.0</v>
      </c>
      <c r="AM128" s="224">
        <v>0.0</v>
      </c>
      <c r="AN128" s="224">
        <v>0.0</v>
      </c>
      <c r="AO128" s="224">
        <v>0.0</v>
      </c>
      <c r="AP128" s="1"/>
      <c r="AQ128" s="237" t="s">
        <v>20</v>
      </c>
      <c r="AR128" s="237" t="s">
        <v>20</v>
      </c>
      <c r="AS128" s="237" t="s">
        <v>20</v>
      </c>
      <c r="AT128" s="237" t="s">
        <v>20</v>
      </c>
      <c r="AU128" s="237" t="s">
        <v>20</v>
      </c>
      <c r="AV128" s="237" t="s">
        <v>20</v>
      </c>
      <c r="AW128" s="237" t="s">
        <v>20</v>
      </c>
      <c r="AX128" s="240"/>
      <c r="AY128" s="240"/>
      <c r="AZ128" s="240"/>
      <c r="BA128" s="240"/>
      <c r="BB128" s="240"/>
      <c r="BC128" s="240"/>
      <c r="BD128" s="240"/>
      <c r="BE128" s="1"/>
      <c r="BF128" s="240"/>
      <c r="BG128" s="240"/>
      <c r="BH128" s="1"/>
      <c r="BI128" s="240"/>
      <c r="BJ128" s="240"/>
      <c r="BK128" s="240"/>
      <c r="BL128" s="240"/>
      <c r="BM128" s="240"/>
      <c r="BN128" s="1"/>
      <c r="BO128" s="241"/>
      <c r="BP128" s="241"/>
      <c r="BQ128" s="241"/>
      <c r="BR128" s="241"/>
      <c r="BS128" s="24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</row>
    <row r="129" ht="19.5" customHeight="1">
      <c r="A129" s="1"/>
      <c r="B129" s="242" t="s">
        <v>178</v>
      </c>
      <c r="C129" s="84">
        <f t="shared" ref="C129:I129" si="276">SUM(C130:C131)</f>
        <v>17282.2</v>
      </c>
      <c r="D129" s="84">
        <f t="shared" si="276"/>
        <v>12080</v>
      </c>
      <c r="E129" s="84">
        <f t="shared" si="276"/>
        <v>13087.585</v>
      </c>
      <c r="F129" s="84">
        <f t="shared" si="276"/>
        <v>15015.5475</v>
      </c>
      <c r="G129" s="84">
        <f t="shared" si="276"/>
        <v>17219.76408</v>
      </c>
      <c r="H129" s="84">
        <f t="shared" si="276"/>
        <v>18816.90797</v>
      </c>
      <c r="I129" s="86">
        <f t="shared" si="276"/>
        <v>21116.79273</v>
      </c>
      <c r="J129" s="1"/>
      <c r="K129" s="84">
        <f t="shared" ref="K129:Q129" si="277">SUM(K130:K131)</f>
        <v>18094</v>
      </c>
      <c r="L129" s="84">
        <f t="shared" si="277"/>
        <v>18216.09418</v>
      </c>
      <c r="M129" s="84">
        <f t="shared" si="277"/>
        <v>24422.39656</v>
      </c>
      <c r="N129" s="84">
        <f t="shared" si="277"/>
        <v>30870.19231</v>
      </c>
      <c r="O129" s="84">
        <f t="shared" si="277"/>
        <v>36484.57135</v>
      </c>
      <c r="P129" s="84">
        <f t="shared" si="277"/>
        <v>42376.20671</v>
      </c>
      <c r="Q129" s="86">
        <f t="shared" si="277"/>
        <v>48877.45915</v>
      </c>
      <c r="R129" s="1"/>
      <c r="S129" s="84">
        <f t="shared" ref="S129:Y129" si="278">SUM(S130:S131)</f>
        <v>2188</v>
      </c>
      <c r="T129" s="84">
        <f t="shared" si="278"/>
        <v>1282</v>
      </c>
      <c r="U129" s="84">
        <f t="shared" si="278"/>
        <v>4889.736</v>
      </c>
      <c r="V129" s="84">
        <f t="shared" si="278"/>
        <v>13153.4862</v>
      </c>
      <c r="W129" s="84">
        <f t="shared" si="278"/>
        <v>24010.9772</v>
      </c>
      <c r="X129" s="84">
        <f t="shared" si="278"/>
        <v>34624.20563</v>
      </c>
      <c r="Y129" s="86">
        <f t="shared" si="278"/>
        <v>44108.08907</v>
      </c>
      <c r="Z129" s="1"/>
      <c r="AA129" s="84">
        <f t="shared" ref="AA129:AG129" si="279">SUM(AA130:AA131)</f>
        <v>3550</v>
      </c>
      <c r="AB129" s="84">
        <f t="shared" si="279"/>
        <v>3164.927333</v>
      </c>
      <c r="AC129" s="84">
        <f t="shared" si="279"/>
        <v>6048.352851</v>
      </c>
      <c r="AD129" s="84">
        <f t="shared" si="279"/>
        <v>9510.593672</v>
      </c>
      <c r="AE129" s="84">
        <f t="shared" si="279"/>
        <v>13638.1387</v>
      </c>
      <c r="AF129" s="84">
        <f t="shared" si="279"/>
        <v>18528.75605</v>
      </c>
      <c r="AG129" s="86">
        <f t="shared" si="279"/>
        <v>21292.90249</v>
      </c>
      <c r="AH129" s="1"/>
      <c r="AI129" s="224">
        <v>0.0</v>
      </c>
      <c r="AJ129" s="224">
        <v>0.0</v>
      </c>
      <c r="AK129" s="224">
        <v>0.0</v>
      </c>
      <c r="AL129" s="224">
        <v>0.0</v>
      </c>
      <c r="AM129" s="224">
        <v>0.0</v>
      </c>
      <c r="AN129" s="224">
        <v>0.0</v>
      </c>
      <c r="AO129" s="224">
        <v>0.0</v>
      </c>
      <c r="AP129" s="1"/>
      <c r="AQ129" s="225">
        <f t="shared" ref="AQ129:AW129" si="280">C129+K129+S129+AI129</f>
        <v>37564.2</v>
      </c>
      <c r="AR129" s="225">
        <f t="shared" si="280"/>
        <v>31578.09418</v>
      </c>
      <c r="AS129" s="225">
        <f t="shared" si="280"/>
        <v>42399.71756</v>
      </c>
      <c r="AT129" s="225">
        <f t="shared" si="280"/>
        <v>59039.22601</v>
      </c>
      <c r="AU129" s="225">
        <f t="shared" si="280"/>
        <v>77715.31264</v>
      </c>
      <c r="AV129" s="225">
        <f t="shared" si="280"/>
        <v>95817.32031</v>
      </c>
      <c r="AW129" s="225">
        <f t="shared" si="280"/>
        <v>114102.3409</v>
      </c>
      <c r="AX129" s="94"/>
      <c r="AY129" s="94"/>
      <c r="AZ129" s="94"/>
      <c r="BA129" s="94"/>
      <c r="BB129" s="94"/>
      <c r="BC129" s="94"/>
      <c r="BD129" s="94"/>
      <c r="BE129" s="1"/>
      <c r="BF129" s="94"/>
      <c r="BG129" s="94"/>
      <c r="BH129" s="1"/>
      <c r="BI129" s="94"/>
      <c r="BJ129" s="94"/>
      <c r="BK129" s="94"/>
      <c r="BL129" s="94"/>
      <c r="BM129" s="94"/>
      <c r="BN129" s="1"/>
      <c r="BO129" s="95"/>
      <c r="BP129" s="95"/>
      <c r="BQ129" s="95"/>
      <c r="BR129" s="95"/>
      <c r="BS129" s="95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</row>
    <row r="130" ht="19.5" customHeight="1">
      <c r="A130" s="1"/>
      <c r="B130" s="243" t="s">
        <v>131</v>
      </c>
      <c r="C130" s="200">
        <v>2300.0</v>
      </c>
      <c r="D130" s="200">
        <v>2394.0</v>
      </c>
      <c r="E130" s="227">
        <v>2322.18</v>
      </c>
      <c r="F130" s="227">
        <v>2252.5146</v>
      </c>
      <c r="G130" s="227">
        <v>2184.939162</v>
      </c>
      <c r="H130" s="227">
        <v>2119.39098714</v>
      </c>
      <c r="I130" s="228">
        <v>2055.8092575258</v>
      </c>
      <c r="J130" s="1"/>
      <c r="K130" s="200">
        <v>5200.0</v>
      </c>
      <c r="L130" s="200">
        <v>5205.78532199062</v>
      </c>
      <c r="M130" s="227">
        <v>5270.337059983303</v>
      </c>
      <c r="N130" s="227">
        <v>5335.689239527096</v>
      </c>
      <c r="O130" s="227">
        <v>5401.8517860972315</v>
      </c>
      <c r="P130" s="227">
        <v>5468.834748244837</v>
      </c>
      <c r="Q130" s="228">
        <v>5536.648299123073</v>
      </c>
      <c r="R130" s="1"/>
      <c r="S130" s="200">
        <v>0.0</v>
      </c>
      <c r="T130" s="200">
        <v>0.0</v>
      </c>
      <c r="U130" s="227">
        <v>0.0</v>
      </c>
      <c r="V130" s="227">
        <v>0.0</v>
      </c>
      <c r="W130" s="227">
        <v>0.0</v>
      </c>
      <c r="X130" s="227">
        <v>0.0</v>
      </c>
      <c r="Y130" s="228">
        <v>0.0</v>
      </c>
      <c r="Z130" s="1"/>
      <c r="AA130" s="200">
        <v>100.0</v>
      </c>
      <c r="AB130" s="200">
        <v>141.11111111111111</v>
      </c>
      <c r="AC130" s="227">
        <v>141.11111111111111</v>
      </c>
      <c r="AD130" s="227">
        <v>141.11111111111111</v>
      </c>
      <c r="AE130" s="227">
        <v>141.11111111111111</v>
      </c>
      <c r="AF130" s="227">
        <v>141.11111111111111</v>
      </c>
      <c r="AG130" s="228">
        <v>141.11111111111111</v>
      </c>
      <c r="AH130" s="1"/>
      <c r="AI130" s="224">
        <v>0.0</v>
      </c>
      <c r="AJ130" s="224">
        <v>0.0</v>
      </c>
      <c r="AK130" s="224">
        <v>0.0</v>
      </c>
      <c r="AL130" s="224">
        <v>0.0</v>
      </c>
      <c r="AM130" s="224">
        <v>0.0</v>
      </c>
      <c r="AN130" s="224">
        <v>0.0</v>
      </c>
      <c r="AO130" s="224">
        <v>0.0</v>
      </c>
      <c r="AP130" s="1"/>
      <c r="AQ130" s="225">
        <f t="shared" ref="AQ130:AW130" si="281">C130+K130+S130+AI130</f>
        <v>7500</v>
      </c>
      <c r="AR130" s="225">
        <f t="shared" si="281"/>
        <v>7599.785322</v>
      </c>
      <c r="AS130" s="225">
        <f t="shared" si="281"/>
        <v>7592.51706</v>
      </c>
      <c r="AT130" s="225">
        <f t="shared" si="281"/>
        <v>7588.20384</v>
      </c>
      <c r="AU130" s="225">
        <f t="shared" si="281"/>
        <v>7586.790948</v>
      </c>
      <c r="AV130" s="225">
        <f t="shared" si="281"/>
        <v>7588.225735</v>
      </c>
      <c r="AW130" s="225">
        <f t="shared" si="281"/>
        <v>7592.457557</v>
      </c>
      <c r="AX130" s="94"/>
      <c r="AY130" s="94"/>
      <c r="AZ130" s="94"/>
      <c r="BA130" s="94"/>
      <c r="BB130" s="94"/>
      <c r="BC130" s="94"/>
      <c r="BD130" s="94"/>
      <c r="BE130" s="1"/>
      <c r="BF130" s="94"/>
      <c r="BG130" s="94"/>
      <c r="BH130" s="1"/>
      <c r="BI130" s="94"/>
      <c r="BJ130" s="94"/>
      <c r="BK130" s="94"/>
      <c r="BL130" s="94"/>
      <c r="BM130" s="94"/>
      <c r="BN130" s="1"/>
      <c r="BO130" s="95"/>
      <c r="BP130" s="95"/>
      <c r="BQ130" s="95"/>
      <c r="BR130" s="95"/>
      <c r="BS130" s="95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</row>
    <row r="131" ht="19.5" customHeight="1">
      <c r="A131" s="1"/>
      <c r="B131" s="244" t="s">
        <v>179</v>
      </c>
      <c r="C131" s="84">
        <v>14982.199999999997</v>
      </c>
      <c r="D131" s="84">
        <v>9686.0</v>
      </c>
      <c r="E131" s="83">
        <v>10765.40500484858</v>
      </c>
      <c r="F131" s="83">
        <v>12763.032901229033</v>
      </c>
      <c r="G131" s="83">
        <v>15034.824922564681</v>
      </c>
      <c r="H131" s="83">
        <v>16697.516981630954</v>
      </c>
      <c r="I131" s="85">
        <v>19060.983477445134</v>
      </c>
      <c r="J131" s="1"/>
      <c r="K131" s="84">
        <v>12894.0</v>
      </c>
      <c r="L131" s="84">
        <v>13010.308860763264</v>
      </c>
      <c r="M131" s="83">
        <v>19152.05949904083</v>
      </c>
      <c r="N131" s="83">
        <v>25534.503072687297</v>
      </c>
      <c r="O131" s="83">
        <v>31082.71956344719</v>
      </c>
      <c r="P131" s="83">
        <v>36907.371964603335</v>
      </c>
      <c r="Q131" s="85">
        <v>43340.81084823719</v>
      </c>
      <c r="R131" s="1"/>
      <c r="S131" s="84">
        <v>2188.0</v>
      </c>
      <c r="T131" s="84">
        <v>1282.0</v>
      </c>
      <c r="U131" s="83">
        <v>4889.735999999997</v>
      </c>
      <c r="V131" s="83">
        <v>13153.486200000003</v>
      </c>
      <c r="W131" s="83">
        <v>24010.977204000003</v>
      </c>
      <c r="X131" s="83">
        <v>34624.205627879994</v>
      </c>
      <c r="Y131" s="85">
        <v>44108.0890671116</v>
      </c>
      <c r="Z131" s="1"/>
      <c r="AA131" s="84">
        <v>3450.0</v>
      </c>
      <c r="AB131" s="84">
        <v>3023.816222222218</v>
      </c>
      <c r="AC131" s="83">
        <v>5907.241739555551</v>
      </c>
      <c r="AD131" s="83">
        <v>9369.482561342662</v>
      </c>
      <c r="AE131" s="83">
        <v>13497.027585593196</v>
      </c>
      <c r="AF131" s="83">
        <v>18387.644938771664</v>
      </c>
      <c r="AG131" s="85">
        <v>21151.791383252057</v>
      </c>
      <c r="AH131" s="1"/>
      <c r="AI131" s="224">
        <v>0.0</v>
      </c>
      <c r="AJ131" s="224">
        <v>0.0</v>
      </c>
      <c r="AK131" s="224">
        <v>0.0</v>
      </c>
      <c r="AL131" s="224">
        <v>0.0</v>
      </c>
      <c r="AM131" s="224">
        <v>0.0</v>
      </c>
      <c r="AN131" s="224">
        <v>0.0</v>
      </c>
      <c r="AO131" s="224">
        <v>0.0</v>
      </c>
      <c r="AP131" s="1"/>
      <c r="AQ131" s="225">
        <f t="shared" ref="AQ131:AW131" si="282">C131+K131+S131+AI131</f>
        <v>30064.2</v>
      </c>
      <c r="AR131" s="225">
        <f t="shared" si="282"/>
        <v>23978.30886</v>
      </c>
      <c r="AS131" s="225">
        <f t="shared" si="282"/>
        <v>34807.2005</v>
      </c>
      <c r="AT131" s="225">
        <f t="shared" si="282"/>
        <v>51451.02217</v>
      </c>
      <c r="AU131" s="225">
        <f t="shared" si="282"/>
        <v>70128.52169</v>
      </c>
      <c r="AV131" s="225">
        <f t="shared" si="282"/>
        <v>88229.09457</v>
      </c>
      <c r="AW131" s="225">
        <f t="shared" si="282"/>
        <v>106509.8834</v>
      </c>
      <c r="AX131" s="94"/>
      <c r="AY131" s="94"/>
      <c r="AZ131" s="94"/>
      <c r="BA131" s="94"/>
      <c r="BB131" s="94"/>
      <c r="BC131" s="94"/>
      <c r="BD131" s="94"/>
      <c r="BE131" s="1"/>
      <c r="BF131" s="94"/>
      <c r="BG131" s="94"/>
      <c r="BH131" s="1"/>
      <c r="BI131" s="94"/>
      <c r="BJ131" s="94"/>
      <c r="BK131" s="94"/>
      <c r="BL131" s="94"/>
      <c r="BM131" s="94"/>
      <c r="BN131" s="1"/>
      <c r="BO131" s="95"/>
      <c r="BP131" s="95"/>
      <c r="BQ131" s="95"/>
      <c r="BR131" s="95"/>
      <c r="BS131" s="95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</row>
    <row r="132" ht="19.5" customHeight="1">
      <c r="A132" s="1"/>
      <c r="B132" s="245"/>
      <c r="C132" s="240"/>
      <c r="D132" s="240"/>
      <c r="E132" s="240"/>
      <c r="F132" s="240"/>
      <c r="G132" s="240"/>
      <c r="H132" s="240"/>
      <c r="I132" s="240"/>
      <c r="J132" s="1"/>
      <c r="K132" s="240"/>
      <c r="L132" s="240"/>
      <c r="M132" s="240"/>
      <c r="N132" s="240"/>
      <c r="O132" s="240"/>
      <c r="P132" s="240"/>
      <c r="Q132" s="240"/>
      <c r="R132" s="1"/>
      <c r="S132" s="240"/>
      <c r="T132" s="240"/>
      <c r="U132" s="240"/>
      <c r="V132" s="240"/>
      <c r="W132" s="240"/>
      <c r="X132" s="240"/>
      <c r="Y132" s="240"/>
      <c r="Z132" s="1"/>
      <c r="AA132" s="240"/>
      <c r="AB132" s="240"/>
      <c r="AC132" s="240"/>
      <c r="AD132" s="240"/>
      <c r="AE132" s="240"/>
      <c r="AF132" s="240"/>
      <c r="AG132" s="240"/>
      <c r="AH132" s="1"/>
      <c r="AI132" s="224">
        <v>0.0</v>
      </c>
      <c r="AJ132" s="224">
        <v>0.0</v>
      </c>
      <c r="AK132" s="224">
        <v>0.0</v>
      </c>
      <c r="AL132" s="224">
        <v>0.0</v>
      </c>
      <c r="AM132" s="224">
        <v>0.0</v>
      </c>
      <c r="AN132" s="224">
        <v>0.0</v>
      </c>
      <c r="AO132" s="224">
        <v>0.0</v>
      </c>
      <c r="AP132" s="1"/>
      <c r="AQ132" s="237" t="s">
        <v>20</v>
      </c>
      <c r="AR132" s="237" t="s">
        <v>20</v>
      </c>
      <c r="AS132" s="237" t="s">
        <v>20</v>
      </c>
      <c r="AT132" s="237" t="s">
        <v>20</v>
      </c>
      <c r="AU132" s="237" t="s">
        <v>20</v>
      </c>
      <c r="AV132" s="237" t="s">
        <v>20</v>
      </c>
      <c r="AW132" s="237" t="s">
        <v>20</v>
      </c>
      <c r="AX132" s="240"/>
      <c r="AY132" s="240"/>
      <c r="AZ132" s="240"/>
      <c r="BA132" s="240"/>
      <c r="BB132" s="240"/>
      <c r="BC132" s="240"/>
      <c r="BD132" s="240"/>
      <c r="BE132" s="1"/>
      <c r="BF132" s="240"/>
      <c r="BG132" s="240"/>
      <c r="BH132" s="1"/>
      <c r="BI132" s="240"/>
      <c r="BJ132" s="240"/>
      <c r="BK132" s="240"/>
      <c r="BL132" s="240"/>
      <c r="BM132" s="240"/>
      <c r="BN132" s="1"/>
      <c r="BO132" s="241"/>
      <c r="BP132" s="241"/>
      <c r="BQ132" s="241"/>
      <c r="BR132" s="241"/>
      <c r="BS132" s="24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</row>
    <row r="133" ht="19.5" customHeight="1">
      <c r="A133" s="1"/>
      <c r="B133" s="246" t="s">
        <v>180</v>
      </c>
      <c r="C133" s="218">
        <f t="shared" ref="C133:I133" si="283">C134+C142</f>
        <v>68329</v>
      </c>
      <c r="D133" s="218">
        <f t="shared" si="283"/>
        <v>65926</v>
      </c>
      <c r="E133" s="218">
        <f t="shared" si="283"/>
        <v>65144.985</v>
      </c>
      <c r="F133" s="218">
        <f t="shared" si="283"/>
        <v>65824.9175</v>
      </c>
      <c r="G133" s="218">
        <f t="shared" si="283"/>
        <v>66718.70258</v>
      </c>
      <c r="H133" s="218">
        <f t="shared" si="283"/>
        <v>66939.89339</v>
      </c>
      <c r="I133" s="219">
        <f t="shared" si="283"/>
        <v>67795.02743</v>
      </c>
      <c r="J133" s="1"/>
      <c r="K133" s="218">
        <f t="shared" ref="K133:Q133" si="284">K134+K142</f>
        <v>54020</v>
      </c>
      <c r="L133" s="218">
        <f t="shared" si="284"/>
        <v>54242.19141</v>
      </c>
      <c r="M133" s="218">
        <f t="shared" si="284"/>
        <v>57817.48337</v>
      </c>
      <c r="N133" s="218">
        <f t="shared" si="284"/>
        <v>61489.56313</v>
      </c>
      <c r="O133" s="218">
        <f t="shared" si="284"/>
        <v>64175.5618</v>
      </c>
      <c r="P133" s="218">
        <f t="shared" si="284"/>
        <v>66977.75587</v>
      </c>
      <c r="Q133" s="219">
        <f t="shared" si="284"/>
        <v>70219.64775</v>
      </c>
      <c r="R133" s="1"/>
      <c r="S133" s="218">
        <f t="shared" ref="S133:Y133" si="285">S134+S142</f>
        <v>16951</v>
      </c>
      <c r="T133" s="218">
        <f t="shared" si="285"/>
        <v>16128</v>
      </c>
      <c r="U133" s="218">
        <f t="shared" si="285"/>
        <v>19070.056</v>
      </c>
      <c r="V133" s="218">
        <f t="shared" si="285"/>
        <v>26628.1854</v>
      </c>
      <c r="W133" s="218">
        <f t="shared" si="285"/>
        <v>36737.71836</v>
      </c>
      <c r="X133" s="218">
        <f t="shared" si="285"/>
        <v>46558.11125</v>
      </c>
      <c r="Y133" s="219">
        <f t="shared" si="285"/>
        <v>55201.58903</v>
      </c>
      <c r="Z133" s="1"/>
      <c r="AA133" s="218">
        <f t="shared" ref="AA133:AG133" si="286">AA134+AA142</f>
        <v>5106</v>
      </c>
      <c r="AB133" s="218">
        <f t="shared" si="286"/>
        <v>4710.638444</v>
      </c>
      <c r="AC133" s="218">
        <f t="shared" si="286"/>
        <v>7446.76934</v>
      </c>
      <c r="AD133" s="218">
        <f t="shared" si="286"/>
        <v>10755.82375</v>
      </c>
      <c r="AE133" s="218">
        <f t="shared" si="286"/>
        <v>14724.05492</v>
      </c>
      <c r="AF133" s="218">
        <f t="shared" si="286"/>
        <v>19448.98585</v>
      </c>
      <c r="AG133" s="219">
        <f t="shared" si="286"/>
        <v>22040.81842</v>
      </c>
      <c r="AH133" s="1"/>
      <c r="AI133" s="220">
        <f t="shared" ref="AI133:AO133" si="287">AI134+AI142</f>
        <v>0</v>
      </c>
      <c r="AJ133" s="220">
        <f t="shared" si="287"/>
        <v>0</v>
      </c>
      <c r="AK133" s="220">
        <f t="shared" si="287"/>
        <v>0</v>
      </c>
      <c r="AL133" s="220">
        <f t="shared" si="287"/>
        <v>0</v>
      </c>
      <c r="AM133" s="220">
        <f t="shared" si="287"/>
        <v>0</v>
      </c>
      <c r="AN133" s="220">
        <f t="shared" si="287"/>
        <v>0</v>
      </c>
      <c r="AO133" s="220">
        <f t="shared" si="287"/>
        <v>0</v>
      </c>
      <c r="AP133" s="1"/>
      <c r="AQ133" s="221">
        <f t="shared" ref="AQ133:AW133" si="288">AQ135+AQ142</f>
        <v>135911</v>
      </c>
      <c r="AR133" s="221">
        <f t="shared" si="288"/>
        <v>133426.7582</v>
      </c>
      <c r="AS133" s="221">
        <f t="shared" si="288"/>
        <v>139683.9305</v>
      </c>
      <c r="AT133" s="221">
        <f t="shared" si="288"/>
        <v>152286.7884</v>
      </c>
      <c r="AU133" s="221">
        <f t="shared" si="288"/>
        <v>166866.5745</v>
      </c>
      <c r="AV133" s="221">
        <f t="shared" si="288"/>
        <v>180827.8316</v>
      </c>
      <c r="AW133" s="221">
        <f t="shared" si="288"/>
        <v>194045.885</v>
      </c>
      <c r="AX133" s="94"/>
      <c r="AY133" s="94"/>
      <c r="AZ133" s="94"/>
      <c r="BA133" s="94"/>
      <c r="BB133" s="94"/>
      <c r="BC133" s="94"/>
      <c r="BD133" s="94"/>
      <c r="BE133" s="1"/>
      <c r="BF133" s="94"/>
      <c r="BG133" s="94"/>
      <c r="BH133" s="1"/>
      <c r="BI133" s="94"/>
      <c r="BJ133" s="94"/>
      <c r="BK133" s="94"/>
      <c r="BL133" s="94"/>
      <c r="BM133" s="94"/>
      <c r="BN133" s="1"/>
      <c r="BO133" s="95"/>
      <c r="BP133" s="95"/>
      <c r="BQ133" s="95"/>
      <c r="BR133" s="95"/>
      <c r="BS133" s="95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</row>
    <row r="134" ht="19.5" customHeight="1">
      <c r="A134" s="1"/>
      <c r="B134" s="247" t="s">
        <v>181</v>
      </c>
      <c r="C134" s="84">
        <f t="shared" ref="C134:I134" si="289">C135</f>
        <v>58339</v>
      </c>
      <c r="D134" s="84">
        <f t="shared" si="289"/>
        <v>58895</v>
      </c>
      <c r="E134" s="84">
        <f t="shared" si="289"/>
        <v>59267.985</v>
      </c>
      <c r="F134" s="84">
        <f t="shared" si="289"/>
        <v>59947.9175</v>
      </c>
      <c r="G134" s="84">
        <f t="shared" si="289"/>
        <v>60841.70258</v>
      </c>
      <c r="H134" s="84">
        <f t="shared" si="289"/>
        <v>61062.89339</v>
      </c>
      <c r="I134" s="86">
        <f t="shared" si="289"/>
        <v>61918.02743</v>
      </c>
      <c r="J134" s="1"/>
      <c r="K134" s="84">
        <f t="shared" ref="K134:Q134" si="290">K135</f>
        <v>37800</v>
      </c>
      <c r="L134" s="84">
        <f t="shared" si="290"/>
        <v>38016.44146</v>
      </c>
      <c r="M134" s="84">
        <f t="shared" si="290"/>
        <v>40861.38859</v>
      </c>
      <c r="N134" s="84">
        <f t="shared" si="290"/>
        <v>43730.08904</v>
      </c>
      <c r="O134" s="84">
        <f t="shared" si="290"/>
        <v>45532.37046</v>
      </c>
      <c r="P134" s="84">
        <f t="shared" si="290"/>
        <v>47362.47557</v>
      </c>
      <c r="Q134" s="86">
        <f t="shared" si="290"/>
        <v>49535.06958</v>
      </c>
      <c r="R134" s="1"/>
      <c r="S134" s="84">
        <f t="shared" ref="S134:Y134" si="291">S135</f>
        <v>11601</v>
      </c>
      <c r="T134" s="84">
        <f t="shared" si="291"/>
        <v>11483</v>
      </c>
      <c r="U134" s="84">
        <f t="shared" si="291"/>
        <v>14425.556</v>
      </c>
      <c r="V134" s="84">
        <f t="shared" si="291"/>
        <v>20152.4854</v>
      </c>
      <c r="W134" s="84">
        <f t="shared" si="291"/>
        <v>27737.71836</v>
      </c>
      <c r="X134" s="84">
        <f t="shared" si="291"/>
        <v>35058.11125</v>
      </c>
      <c r="Y134" s="86">
        <f t="shared" si="291"/>
        <v>41701.58903</v>
      </c>
      <c r="Z134" s="1"/>
      <c r="AA134" s="84">
        <f t="shared" ref="AA134:AG134" si="292">AA135</f>
        <v>3606</v>
      </c>
      <c r="AB134" s="84">
        <f t="shared" si="292"/>
        <v>3370.823111</v>
      </c>
      <c r="AC134" s="84">
        <f t="shared" si="292"/>
        <v>5106.954006</v>
      </c>
      <c r="AD134" s="84">
        <f t="shared" si="292"/>
        <v>7416.008421</v>
      </c>
      <c r="AE134" s="84">
        <f t="shared" si="292"/>
        <v>10384.23958</v>
      </c>
      <c r="AF134" s="84">
        <f t="shared" si="292"/>
        <v>14109.17052</v>
      </c>
      <c r="AG134" s="86">
        <f t="shared" si="292"/>
        <v>15701.00309</v>
      </c>
      <c r="AH134" s="1"/>
      <c r="AI134" s="224">
        <v>0.0</v>
      </c>
      <c r="AJ134" s="224">
        <v>0.0</v>
      </c>
      <c r="AK134" s="224">
        <v>0.0</v>
      </c>
      <c r="AL134" s="224">
        <v>0.0</v>
      </c>
      <c r="AM134" s="224">
        <v>0.0</v>
      </c>
      <c r="AN134" s="224">
        <v>0.0</v>
      </c>
      <c r="AO134" s="224">
        <v>0.0</v>
      </c>
      <c r="AP134" s="1"/>
      <c r="AQ134" s="225">
        <f t="shared" ref="AQ134:AW134" si="293">AQ135</f>
        <v>104951</v>
      </c>
      <c r="AR134" s="225">
        <f t="shared" si="293"/>
        <v>105525.0083</v>
      </c>
      <c r="AS134" s="225">
        <f t="shared" si="293"/>
        <v>112206.3357</v>
      </c>
      <c r="AT134" s="225">
        <f t="shared" si="293"/>
        <v>122174.6143</v>
      </c>
      <c r="AU134" s="225">
        <f t="shared" si="293"/>
        <v>133346.3832</v>
      </c>
      <c r="AV134" s="225">
        <f t="shared" si="293"/>
        <v>143835.5512</v>
      </c>
      <c r="AW134" s="225">
        <f t="shared" si="293"/>
        <v>153984.3068</v>
      </c>
      <c r="AX134" s="94"/>
      <c r="AY134" s="94"/>
      <c r="AZ134" s="94"/>
      <c r="BA134" s="94"/>
      <c r="BB134" s="94"/>
      <c r="BC134" s="94"/>
      <c r="BD134" s="94"/>
      <c r="BE134" s="1"/>
      <c r="BF134" s="94"/>
      <c r="BG134" s="94"/>
      <c r="BH134" s="1"/>
      <c r="BI134" s="94"/>
      <c r="BJ134" s="94"/>
      <c r="BK134" s="94"/>
      <c r="BL134" s="94"/>
      <c r="BM134" s="94"/>
      <c r="BN134" s="1"/>
      <c r="BO134" s="95"/>
      <c r="BP134" s="95"/>
      <c r="BQ134" s="95"/>
      <c r="BR134" s="95"/>
      <c r="BS134" s="95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</row>
    <row r="135" ht="19.5" customHeight="1">
      <c r="A135" s="1"/>
      <c r="B135" s="244" t="s">
        <v>121</v>
      </c>
      <c r="C135" s="84">
        <f t="shared" ref="C135:I135" si="294">SUM(C136:C138)</f>
        <v>58339</v>
      </c>
      <c r="D135" s="84">
        <f t="shared" si="294"/>
        <v>58895</v>
      </c>
      <c r="E135" s="84">
        <f t="shared" si="294"/>
        <v>59267.985</v>
      </c>
      <c r="F135" s="84">
        <f t="shared" si="294"/>
        <v>59947.9175</v>
      </c>
      <c r="G135" s="84">
        <f t="shared" si="294"/>
        <v>60841.70258</v>
      </c>
      <c r="H135" s="84">
        <f t="shared" si="294"/>
        <v>61062.89339</v>
      </c>
      <c r="I135" s="86">
        <f t="shared" si="294"/>
        <v>61918.02743</v>
      </c>
      <c r="J135" s="1"/>
      <c r="K135" s="84">
        <f t="shared" ref="K135:Q135" si="295">SUM(K136:K138)</f>
        <v>37800</v>
      </c>
      <c r="L135" s="84">
        <f t="shared" si="295"/>
        <v>38016.44146</v>
      </c>
      <c r="M135" s="84">
        <f t="shared" si="295"/>
        <v>40861.38859</v>
      </c>
      <c r="N135" s="84">
        <f t="shared" si="295"/>
        <v>43730.08904</v>
      </c>
      <c r="O135" s="84">
        <f t="shared" si="295"/>
        <v>45532.37046</v>
      </c>
      <c r="P135" s="84">
        <f t="shared" si="295"/>
        <v>47362.47557</v>
      </c>
      <c r="Q135" s="86">
        <f t="shared" si="295"/>
        <v>49535.06958</v>
      </c>
      <c r="R135" s="1"/>
      <c r="S135" s="84">
        <f t="shared" ref="S135:Y135" si="296">SUM(S136:S138)</f>
        <v>11601</v>
      </c>
      <c r="T135" s="84">
        <f t="shared" si="296"/>
        <v>11483</v>
      </c>
      <c r="U135" s="84">
        <f t="shared" si="296"/>
        <v>14425.556</v>
      </c>
      <c r="V135" s="84">
        <f t="shared" si="296"/>
        <v>20152.4854</v>
      </c>
      <c r="W135" s="84">
        <f t="shared" si="296"/>
        <v>27737.71836</v>
      </c>
      <c r="X135" s="84">
        <f t="shared" si="296"/>
        <v>35058.11125</v>
      </c>
      <c r="Y135" s="86">
        <f t="shared" si="296"/>
        <v>41701.58903</v>
      </c>
      <c r="Z135" s="1"/>
      <c r="AA135" s="84">
        <f t="shared" ref="AA135:AG135" si="297">SUM(AA136:AA138)</f>
        <v>3606</v>
      </c>
      <c r="AB135" s="84">
        <f t="shared" si="297"/>
        <v>3370.823111</v>
      </c>
      <c r="AC135" s="84">
        <f t="shared" si="297"/>
        <v>5106.954006</v>
      </c>
      <c r="AD135" s="84">
        <f t="shared" si="297"/>
        <v>7416.008421</v>
      </c>
      <c r="AE135" s="84">
        <f t="shared" si="297"/>
        <v>10384.23958</v>
      </c>
      <c r="AF135" s="84">
        <f t="shared" si="297"/>
        <v>14109.17052</v>
      </c>
      <c r="AG135" s="86">
        <f t="shared" si="297"/>
        <v>15701.00309</v>
      </c>
      <c r="AH135" s="1"/>
      <c r="AI135" s="224">
        <v>0.0</v>
      </c>
      <c r="AJ135" s="224">
        <v>0.0</v>
      </c>
      <c r="AK135" s="224">
        <v>0.0</v>
      </c>
      <c r="AL135" s="224">
        <v>0.0</v>
      </c>
      <c r="AM135" s="224">
        <v>0.0</v>
      </c>
      <c r="AN135" s="224">
        <v>0.0</v>
      </c>
      <c r="AO135" s="224">
        <v>0.0</v>
      </c>
      <c r="AP135" s="1"/>
      <c r="AQ135" s="225">
        <f t="shared" ref="AQ135:AW135" si="298">SUM(AQ136:AQ138)+AQ141</f>
        <v>104951</v>
      </c>
      <c r="AR135" s="225">
        <f t="shared" si="298"/>
        <v>105525.0083</v>
      </c>
      <c r="AS135" s="225">
        <f t="shared" si="298"/>
        <v>112206.3357</v>
      </c>
      <c r="AT135" s="225">
        <f t="shared" si="298"/>
        <v>122174.6143</v>
      </c>
      <c r="AU135" s="225">
        <f t="shared" si="298"/>
        <v>133346.3832</v>
      </c>
      <c r="AV135" s="225">
        <f t="shared" si="298"/>
        <v>143835.5512</v>
      </c>
      <c r="AW135" s="225">
        <f t="shared" si="298"/>
        <v>153984.3068</v>
      </c>
      <c r="AX135" s="94"/>
      <c r="AY135" s="94"/>
      <c r="AZ135" s="94"/>
      <c r="BA135" s="94"/>
      <c r="BB135" s="94"/>
      <c r="BC135" s="94"/>
      <c r="BD135" s="94"/>
      <c r="BE135" s="1"/>
      <c r="BF135" s="94"/>
      <c r="BG135" s="94"/>
      <c r="BH135" s="1"/>
      <c r="BI135" s="1"/>
      <c r="BJ135" s="94"/>
      <c r="BK135" s="94"/>
      <c r="BL135" s="94"/>
      <c r="BM135" s="94"/>
      <c r="BN135" s="1"/>
      <c r="BO135" s="95"/>
      <c r="BP135" s="95"/>
      <c r="BQ135" s="95"/>
      <c r="BR135" s="95"/>
      <c r="BS135" s="95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ht="19.5" customHeight="1">
      <c r="A136" s="1"/>
      <c r="B136" s="233" t="s">
        <v>182</v>
      </c>
      <c r="C136" s="234">
        <v>30001.0</v>
      </c>
      <c r="D136" s="234">
        <v>30001.0</v>
      </c>
      <c r="E136" s="236">
        <v>30001.0</v>
      </c>
      <c r="F136" s="236">
        <v>30001.0</v>
      </c>
      <c r="G136" s="236">
        <v>30001.0</v>
      </c>
      <c r="H136" s="236">
        <v>30001.0</v>
      </c>
      <c r="I136" s="235">
        <v>30001.0</v>
      </c>
      <c r="J136" s="1"/>
      <c r="K136" s="234">
        <v>20030.0</v>
      </c>
      <c r="L136" s="234">
        <v>20030.344827586207</v>
      </c>
      <c r="M136" s="236">
        <v>20030.344827586207</v>
      </c>
      <c r="N136" s="236">
        <v>20030.344827586207</v>
      </c>
      <c r="O136" s="236">
        <v>20030.344827586207</v>
      </c>
      <c r="P136" s="236">
        <v>20030.344827586207</v>
      </c>
      <c r="Q136" s="235">
        <v>20030.344827586207</v>
      </c>
      <c r="R136" s="1"/>
      <c r="S136" s="234">
        <v>7001.0</v>
      </c>
      <c r="T136" s="234">
        <v>7001.0</v>
      </c>
      <c r="U136" s="236">
        <v>7001.0</v>
      </c>
      <c r="V136" s="236">
        <v>7001.0</v>
      </c>
      <c r="W136" s="236">
        <v>7001.0</v>
      </c>
      <c r="X136" s="236">
        <v>7001.0</v>
      </c>
      <c r="Y136" s="235">
        <v>7001.0</v>
      </c>
      <c r="Z136" s="1"/>
      <c r="AA136" s="234">
        <v>6.0</v>
      </c>
      <c r="AB136" s="234">
        <v>5.555555555555555</v>
      </c>
      <c r="AC136" s="236">
        <v>5.555555555555555</v>
      </c>
      <c r="AD136" s="236">
        <v>5.555555555555555</v>
      </c>
      <c r="AE136" s="236">
        <v>5.555555555555555</v>
      </c>
      <c r="AF136" s="236">
        <v>5.555555555555555</v>
      </c>
      <c r="AG136" s="235">
        <v>5.555555555555555</v>
      </c>
      <c r="AH136" s="1"/>
      <c r="AI136" s="224">
        <v>0.0</v>
      </c>
      <c r="AJ136" s="224">
        <v>0.0</v>
      </c>
      <c r="AK136" s="224">
        <v>0.0</v>
      </c>
      <c r="AL136" s="224">
        <v>0.0</v>
      </c>
      <c r="AM136" s="224">
        <v>0.0</v>
      </c>
      <c r="AN136" s="224">
        <v>0.0</v>
      </c>
      <c r="AO136" s="224">
        <v>0.0</v>
      </c>
      <c r="AP136" s="1"/>
      <c r="AQ136" s="225">
        <f t="shared" ref="AQ136:AW136" si="299">C136</f>
        <v>30001</v>
      </c>
      <c r="AR136" s="225">
        <f t="shared" si="299"/>
        <v>30001</v>
      </c>
      <c r="AS136" s="225">
        <f t="shared" si="299"/>
        <v>30001</v>
      </c>
      <c r="AT136" s="225">
        <f t="shared" si="299"/>
        <v>30001</v>
      </c>
      <c r="AU136" s="225">
        <f t="shared" si="299"/>
        <v>30001</v>
      </c>
      <c r="AV136" s="225">
        <f t="shared" si="299"/>
        <v>30001</v>
      </c>
      <c r="AW136" s="225">
        <f t="shared" si="299"/>
        <v>30001</v>
      </c>
      <c r="AX136" s="58"/>
      <c r="AY136" s="58"/>
      <c r="AZ136" s="58"/>
      <c r="BA136" s="58"/>
      <c r="BB136" s="58"/>
      <c r="BC136" s="58"/>
      <c r="BD136" s="58"/>
      <c r="BE136" s="1"/>
      <c r="BF136" s="58"/>
      <c r="BG136" s="58"/>
      <c r="BH136" s="1"/>
      <c r="BI136" s="58"/>
      <c r="BJ136" s="58"/>
      <c r="BK136" s="58"/>
      <c r="BL136" s="58"/>
      <c r="BM136" s="58"/>
      <c r="BN136" s="1"/>
      <c r="BO136" s="103"/>
      <c r="BP136" s="103"/>
      <c r="BQ136" s="103"/>
      <c r="BR136" s="103"/>
      <c r="BS136" s="103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</row>
    <row r="137" ht="19.5" customHeight="1">
      <c r="A137" s="1"/>
      <c r="B137" s="233" t="s">
        <v>183</v>
      </c>
      <c r="C137" s="99">
        <v>19960.0</v>
      </c>
      <c r="D137" s="99">
        <v>19953.0</v>
      </c>
      <c r="E137" s="97">
        <v>19953.0</v>
      </c>
      <c r="F137" s="97">
        <v>19953.0</v>
      </c>
      <c r="G137" s="97">
        <v>19953.0</v>
      </c>
      <c r="H137" s="97">
        <v>19953.0</v>
      </c>
      <c r="I137" s="98">
        <v>19953.0</v>
      </c>
      <c r="J137" s="1"/>
      <c r="K137" s="99">
        <v>1270.0</v>
      </c>
      <c r="L137" s="99">
        <v>1274.4827586206898</v>
      </c>
      <c r="M137" s="97">
        <v>1274.4827586206898</v>
      </c>
      <c r="N137" s="97">
        <v>1274.4827586206898</v>
      </c>
      <c r="O137" s="97">
        <v>1274.4827586206898</v>
      </c>
      <c r="P137" s="97">
        <v>1274.4827586206898</v>
      </c>
      <c r="Q137" s="98">
        <v>1274.4827586206898</v>
      </c>
      <c r="R137" s="1"/>
      <c r="S137" s="99">
        <v>3500.0</v>
      </c>
      <c r="T137" s="99">
        <v>3500.0</v>
      </c>
      <c r="U137" s="97">
        <v>3500.0</v>
      </c>
      <c r="V137" s="97">
        <v>3500.0</v>
      </c>
      <c r="W137" s="97">
        <v>3500.0</v>
      </c>
      <c r="X137" s="97">
        <v>3500.0</v>
      </c>
      <c r="Y137" s="98">
        <v>3500.0</v>
      </c>
      <c r="Z137" s="1"/>
      <c r="AA137" s="99">
        <v>1200.0</v>
      </c>
      <c r="AB137" s="99">
        <v>1233.33333333333</v>
      </c>
      <c r="AC137" s="97">
        <v>1233.33333333333</v>
      </c>
      <c r="AD137" s="97">
        <v>1233.33333333333</v>
      </c>
      <c r="AE137" s="97">
        <v>1233.33333333333</v>
      </c>
      <c r="AF137" s="97">
        <v>1233.33333333333</v>
      </c>
      <c r="AG137" s="98">
        <v>1233.33333333333</v>
      </c>
      <c r="AH137" s="1"/>
      <c r="AI137" s="224">
        <v>0.0</v>
      </c>
      <c r="AJ137" s="224">
        <v>0.0</v>
      </c>
      <c r="AK137" s="224">
        <v>0.0</v>
      </c>
      <c r="AL137" s="224">
        <v>0.0</v>
      </c>
      <c r="AM137" s="224">
        <v>0.0</v>
      </c>
      <c r="AN137" s="224">
        <v>0.0</v>
      </c>
      <c r="AO137" s="224">
        <v>0.0</v>
      </c>
      <c r="AP137" s="1"/>
      <c r="AQ137" s="225">
        <f t="shared" ref="AQ137:AW137" si="300">C137+K137+S137+AI137</f>
        <v>24730</v>
      </c>
      <c r="AR137" s="225">
        <f t="shared" si="300"/>
        <v>24727.48276</v>
      </c>
      <c r="AS137" s="225">
        <f t="shared" si="300"/>
        <v>24727.48276</v>
      </c>
      <c r="AT137" s="225">
        <f t="shared" si="300"/>
        <v>24727.48276</v>
      </c>
      <c r="AU137" s="225">
        <f t="shared" si="300"/>
        <v>24727.48276</v>
      </c>
      <c r="AV137" s="225">
        <f t="shared" si="300"/>
        <v>24727.48276</v>
      </c>
      <c r="AW137" s="225">
        <f t="shared" si="300"/>
        <v>24727.48276</v>
      </c>
      <c r="AX137" s="58"/>
      <c r="AY137" s="58"/>
      <c r="AZ137" s="58"/>
      <c r="BA137" s="58"/>
      <c r="BB137" s="58"/>
      <c r="BC137" s="58"/>
      <c r="BD137" s="58"/>
      <c r="BE137" s="1"/>
      <c r="BF137" s="58"/>
      <c r="BG137" s="58"/>
      <c r="BH137" s="1"/>
      <c r="BI137" s="58"/>
      <c r="BJ137" s="58"/>
      <c r="BK137" s="58"/>
      <c r="BL137" s="58"/>
      <c r="BM137" s="58"/>
      <c r="BN137" s="1"/>
      <c r="BO137" s="103"/>
      <c r="BP137" s="103"/>
      <c r="BQ137" s="103"/>
      <c r="BR137" s="103"/>
      <c r="BS137" s="103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ht="19.5" customHeight="1">
      <c r="A138" s="1"/>
      <c r="B138" s="233" t="s">
        <v>184</v>
      </c>
      <c r="C138" s="99">
        <v>8378.0</v>
      </c>
      <c r="D138" s="99">
        <v>8941.000000000002</v>
      </c>
      <c r="E138" s="97">
        <v>9313.985004848573</v>
      </c>
      <c r="F138" s="97">
        <v>9993.917501229027</v>
      </c>
      <c r="G138" s="97">
        <v>10887.702584564677</v>
      </c>
      <c r="H138" s="97">
        <v>11108.89339377095</v>
      </c>
      <c r="I138" s="98">
        <v>11964.027431220935</v>
      </c>
      <c r="J138" s="1"/>
      <c r="K138" s="99">
        <v>16500.0</v>
      </c>
      <c r="L138" s="99">
        <v>16711.613869392226</v>
      </c>
      <c r="M138" s="97">
        <v>19556.560999811292</v>
      </c>
      <c r="N138" s="97">
        <v>22425.261451387145</v>
      </c>
      <c r="O138" s="97">
        <v>24227.542876548447</v>
      </c>
      <c r="P138" s="97">
        <v>26057.647983152132</v>
      </c>
      <c r="Q138" s="98">
        <v>28230.24199339737</v>
      </c>
      <c r="R138" s="1"/>
      <c r="S138" s="99">
        <v>1100.0</v>
      </c>
      <c r="T138" s="99">
        <v>982.0</v>
      </c>
      <c r="U138" s="97">
        <v>3924.555999999999</v>
      </c>
      <c r="V138" s="97">
        <v>9651.485399999998</v>
      </c>
      <c r="W138" s="97">
        <v>17236.718355999998</v>
      </c>
      <c r="X138" s="97">
        <v>24557.111248999994</v>
      </c>
      <c r="Y138" s="98">
        <v>31200.589025498804</v>
      </c>
      <c r="Z138" s="1"/>
      <c r="AA138" s="99">
        <v>2400.0</v>
      </c>
      <c r="AB138" s="99">
        <v>2131.93422222222</v>
      </c>
      <c r="AC138" s="97">
        <v>3868.0651173333317</v>
      </c>
      <c r="AD138" s="97">
        <v>6177.119532009332</v>
      </c>
      <c r="AE138" s="97">
        <v>9145.350692864311</v>
      </c>
      <c r="AF138" s="97">
        <v>12870.281628111405</v>
      </c>
      <c r="AG138" s="98">
        <v>14462.114197943167</v>
      </c>
      <c r="AH138" s="1"/>
      <c r="AI138" s="224">
        <v>0.0</v>
      </c>
      <c r="AJ138" s="224">
        <v>0.0</v>
      </c>
      <c r="AK138" s="224">
        <v>0.0</v>
      </c>
      <c r="AL138" s="224">
        <v>0.0</v>
      </c>
      <c r="AM138" s="224">
        <v>0.0</v>
      </c>
      <c r="AN138" s="224">
        <v>0.0</v>
      </c>
      <c r="AO138" s="224">
        <v>0.0</v>
      </c>
      <c r="AP138" s="1"/>
      <c r="AQ138" s="248">
        <f t="shared" ref="AQ138:AW138" si="301">C138+0.9*(K138-K139)+0.6*(S138-S139)+0.3*(AA138-AA139)-(C125-0.9*(K136+K139))-(C126-0.6*(S136+S139))</f>
        <v>43326.6</v>
      </c>
      <c r="AR138" s="248">
        <f t="shared" si="301"/>
        <v>43929.12964</v>
      </c>
      <c r="AS138" s="248">
        <f t="shared" si="301"/>
        <v>49148.93993</v>
      </c>
      <c r="AT138" s="248">
        <f t="shared" si="301"/>
        <v>56539.5768</v>
      </c>
      <c r="AU138" s="248">
        <f t="shared" si="301"/>
        <v>64497.02429</v>
      </c>
      <c r="AV138" s="248">
        <f t="shared" si="301"/>
        <v>71875.02471</v>
      </c>
      <c r="AW138" s="248">
        <f t="shared" si="301"/>
        <v>79149.12979</v>
      </c>
      <c r="AX138" s="249"/>
      <c r="AY138" s="58"/>
      <c r="AZ138" s="58"/>
      <c r="BA138" s="58"/>
      <c r="BB138" s="58"/>
      <c r="BC138" s="58"/>
      <c r="BD138" s="58"/>
      <c r="BE138" s="1"/>
      <c r="BF138" s="58"/>
      <c r="BG138" s="58"/>
      <c r="BH138" s="1"/>
      <c r="BI138" s="58"/>
      <c r="BJ138" s="58"/>
      <c r="BK138" s="58"/>
      <c r="BL138" s="58"/>
      <c r="BM138" s="58"/>
      <c r="BN138" s="1"/>
      <c r="BO138" s="103"/>
      <c r="BP138" s="103"/>
      <c r="BQ138" s="103"/>
      <c r="BR138" s="103"/>
      <c r="BS138" s="103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</row>
    <row r="139" ht="19.5" customHeight="1">
      <c r="A139" s="1"/>
      <c r="B139" s="250" t="s">
        <v>185</v>
      </c>
      <c r="C139" s="251">
        <v>917.0</v>
      </c>
      <c r="D139" s="251">
        <v>917.168</v>
      </c>
      <c r="E139" s="251">
        <v>917.168</v>
      </c>
      <c r="F139" s="251">
        <v>917.168</v>
      </c>
      <c r="G139" s="251">
        <v>917.168</v>
      </c>
      <c r="H139" s="251">
        <v>917.168</v>
      </c>
      <c r="I139" s="252">
        <v>917.168</v>
      </c>
      <c r="J139" s="1"/>
      <c r="K139" s="253">
        <v>562.0</v>
      </c>
      <c r="L139" s="253">
        <v>562.1574657308256</v>
      </c>
      <c r="M139" s="251">
        <v>562.1574657308256</v>
      </c>
      <c r="N139" s="251">
        <v>562.1574657308256</v>
      </c>
      <c r="O139" s="251">
        <v>562.1574657308256</v>
      </c>
      <c r="P139" s="251">
        <v>562.1574657308256</v>
      </c>
      <c r="Q139" s="252">
        <v>562.1574657308256</v>
      </c>
      <c r="R139" s="1"/>
      <c r="S139" s="253">
        <v>12.0</v>
      </c>
      <c r="T139" s="253">
        <v>12.0</v>
      </c>
      <c r="U139" s="251">
        <v>12.0</v>
      </c>
      <c r="V139" s="251">
        <v>12.0</v>
      </c>
      <c r="W139" s="251">
        <v>12.0</v>
      </c>
      <c r="X139" s="251">
        <v>12.0</v>
      </c>
      <c r="Y139" s="252">
        <v>12.0</v>
      </c>
      <c r="Z139" s="1"/>
      <c r="AA139" s="253">
        <v>30.0</v>
      </c>
      <c r="AB139" s="253">
        <v>30.04484266666656</v>
      </c>
      <c r="AC139" s="251">
        <v>30.04484266666656</v>
      </c>
      <c r="AD139" s="251">
        <v>30.04484266666656</v>
      </c>
      <c r="AE139" s="251">
        <v>30.04484266666656</v>
      </c>
      <c r="AF139" s="251">
        <v>30.04484266666656</v>
      </c>
      <c r="AG139" s="252">
        <v>30.04484266666656</v>
      </c>
      <c r="AH139" s="1"/>
      <c r="AI139" s="224">
        <v>0.0</v>
      </c>
      <c r="AJ139" s="224">
        <v>0.0</v>
      </c>
      <c r="AK139" s="224">
        <v>0.0</v>
      </c>
      <c r="AL139" s="224">
        <v>0.0</v>
      </c>
      <c r="AM139" s="224">
        <v>0.0</v>
      </c>
      <c r="AN139" s="224">
        <v>0.0</v>
      </c>
      <c r="AO139" s="224">
        <v>0.0</v>
      </c>
      <c r="AP139" s="1"/>
      <c r="AQ139" s="254" t="s">
        <v>20</v>
      </c>
      <c r="AR139" s="254" t="s">
        <v>20</v>
      </c>
      <c r="AS139" s="254" t="s">
        <v>20</v>
      </c>
      <c r="AT139" s="254" t="s">
        <v>20</v>
      </c>
      <c r="AU139" s="254" t="s">
        <v>20</v>
      </c>
      <c r="AV139" s="254" t="s">
        <v>20</v>
      </c>
      <c r="AW139" s="254" t="s">
        <v>20</v>
      </c>
      <c r="AX139" s="249"/>
      <c r="AY139" s="204"/>
      <c r="AZ139" s="204"/>
      <c r="BA139" s="204"/>
      <c r="BB139" s="204"/>
      <c r="BC139" s="204"/>
      <c r="BD139" s="204"/>
      <c r="BE139" s="1"/>
      <c r="BF139" s="204"/>
      <c r="BG139" s="204"/>
      <c r="BH139" s="1"/>
      <c r="BI139" s="204"/>
      <c r="BJ139" s="204"/>
      <c r="BK139" s="204"/>
      <c r="BL139" s="204"/>
      <c r="BM139" s="204"/>
      <c r="BN139" s="1"/>
      <c r="BO139" s="255"/>
      <c r="BP139" s="255"/>
      <c r="BQ139" s="255"/>
      <c r="BR139" s="255"/>
      <c r="BS139" s="255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</row>
    <row r="140" ht="19.5" customHeight="1">
      <c r="A140" s="1"/>
      <c r="B140" s="250" t="s">
        <v>186</v>
      </c>
      <c r="C140" s="251">
        <v>7461.0</v>
      </c>
      <c r="D140" s="251">
        <v>8023.832000000002</v>
      </c>
      <c r="E140" s="251">
        <v>8396.817004848574</v>
      </c>
      <c r="F140" s="251">
        <v>9076.749501229027</v>
      </c>
      <c r="G140" s="251">
        <v>9970.534584564677</v>
      </c>
      <c r="H140" s="251">
        <v>10191.72539377095</v>
      </c>
      <c r="I140" s="252">
        <v>11046.859431220935</v>
      </c>
      <c r="J140" s="1"/>
      <c r="K140" s="253">
        <v>15938.0</v>
      </c>
      <c r="L140" s="253">
        <v>16149.4564036614</v>
      </c>
      <c r="M140" s="251">
        <v>18994.403534080466</v>
      </c>
      <c r="N140" s="251">
        <v>21863.10398565632</v>
      </c>
      <c r="O140" s="251">
        <v>23665.38541081762</v>
      </c>
      <c r="P140" s="251">
        <v>25495.490517421305</v>
      </c>
      <c r="Q140" s="252">
        <v>27668.084527666542</v>
      </c>
      <c r="R140" s="1"/>
      <c r="S140" s="253">
        <v>1088.0</v>
      </c>
      <c r="T140" s="253">
        <v>970.0</v>
      </c>
      <c r="U140" s="251">
        <v>3912.555999999999</v>
      </c>
      <c r="V140" s="251">
        <v>9639.485399999998</v>
      </c>
      <c r="W140" s="251">
        <v>17224.718355999998</v>
      </c>
      <c r="X140" s="251">
        <v>24545.111248999994</v>
      </c>
      <c r="Y140" s="252">
        <v>31188.589025498804</v>
      </c>
      <c r="Z140" s="1"/>
      <c r="AA140" s="253">
        <v>2370.0</v>
      </c>
      <c r="AB140" s="253">
        <v>2101.889379555553</v>
      </c>
      <c r="AC140" s="251">
        <v>3838.020274666665</v>
      </c>
      <c r="AD140" s="251">
        <v>6147.074689342666</v>
      </c>
      <c r="AE140" s="251">
        <v>9115.305850197645</v>
      </c>
      <c r="AF140" s="251">
        <v>12840.236785444738</v>
      </c>
      <c r="AG140" s="252">
        <v>14432.0693552765</v>
      </c>
      <c r="AH140" s="1"/>
      <c r="AI140" s="224">
        <v>0.0</v>
      </c>
      <c r="AJ140" s="224">
        <v>0.0</v>
      </c>
      <c r="AK140" s="224">
        <v>0.0</v>
      </c>
      <c r="AL140" s="224">
        <v>0.0</v>
      </c>
      <c r="AM140" s="224">
        <v>0.0</v>
      </c>
      <c r="AN140" s="224">
        <v>0.0</v>
      </c>
      <c r="AO140" s="224">
        <v>0.0</v>
      </c>
      <c r="AP140" s="1"/>
      <c r="AQ140" s="254" t="s">
        <v>20</v>
      </c>
      <c r="AR140" s="254" t="s">
        <v>20</v>
      </c>
      <c r="AS140" s="254" t="s">
        <v>20</v>
      </c>
      <c r="AT140" s="254" t="s">
        <v>20</v>
      </c>
      <c r="AU140" s="254" t="s">
        <v>20</v>
      </c>
      <c r="AV140" s="254" t="s">
        <v>20</v>
      </c>
      <c r="AW140" s="254" t="s">
        <v>20</v>
      </c>
      <c r="AX140" s="249"/>
      <c r="AY140" s="204"/>
      <c r="AZ140" s="204"/>
      <c r="BA140" s="204"/>
      <c r="BB140" s="204"/>
      <c r="BC140" s="204"/>
      <c r="BD140" s="204"/>
      <c r="BE140" s="1"/>
      <c r="BF140" s="204"/>
      <c r="BG140" s="204"/>
      <c r="BH140" s="1"/>
      <c r="BI140" s="204"/>
      <c r="BJ140" s="204"/>
      <c r="BK140" s="204"/>
      <c r="BL140" s="204"/>
      <c r="BM140" s="204"/>
      <c r="BN140" s="1"/>
      <c r="BO140" s="255"/>
      <c r="BP140" s="255"/>
      <c r="BQ140" s="255"/>
      <c r="BR140" s="255"/>
      <c r="BS140" s="255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</row>
    <row r="141" ht="19.5" customHeight="1">
      <c r="A141" s="108"/>
      <c r="B141" s="256" t="s">
        <v>187</v>
      </c>
      <c r="C141" s="84">
        <f t="shared" ref="C141:I141" si="302">K135*10%+S135*40%</f>
        <v>8420.4</v>
      </c>
      <c r="D141" s="84">
        <f t="shared" si="302"/>
        <v>8394.844146</v>
      </c>
      <c r="E141" s="84">
        <f t="shared" si="302"/>
        <v>9856.361259</v>
      </c>
      <c r="F141" s="84">
        <f t="shared" si="302"/>
        <v>12434.00306</v>
      </c>
      <c r="G141" s="84">
        <f t="shared" si="302"/>
        <v>15648.32439</v>
      </c>
      <c r="H141" s="84">
        <f t="shared" si="302"/>
        <v>18759.49206</v>
      </c>
      <c r="I141" s="84">
        <f t="shared" si="302"/>
        <v>21634.14257</v>
      </c>
      <c r="J141" s="1"/>
      <c r="K141" s="111">
        <v>0.0</v>
      </c>
      <c r="L141" s="111">
        <v>0.0</v>
      </c>
      <c r="M141" s="111">
        <v>0.0</v>
      </c>
      <c r="N141" s="111">
        <v>0.0</v>
      </c>
      <c r="O141" s="111">
        <v>0.0</v>
      </c>
      <c r="P141" s="111">
        <v>0.0</v>
      </c>
      <c r="Q141" s="111">
        <v>0.0</v>
      </c>
      <c r="R141" s="1"/>
      <c r="S141" s="111">
        <v>0.0</v>
      </c>
      <c r="T141" s="111">
        <v>0.0</v>
      </c>
      <c r="U141" s="111">
        <v>0.0</v>
      </c>
      <c r="V141" s="111">
        <v>0.0</v>
      </c>
      <c r="W141" s="111">
        <v>0.0</v>
      </c>
      <c r="X141" s="111">
        <v>0.0</v>
      </c>
      <c r="Y141" s="111">
        <v>0.0</v>
      </c>
      <c r="Z141" s="1"/>
      <c r="AA141" s="111">
        <v>0.0</v>
      </c>
      <c r="AB141" s="111">
        <v>0.0</v>
      </c>
      <c r="AC141" s="111">
        <v>0.0</v>
      </c>
      <c r="AD141" s="111">
        <v>0.0</v>
      </c>
      <c r="AE141" s="111">
        <v>0.0</v>
      </c>
      <c r="AF141" s="111">
        <v>0.0</v>
      </c>
      <c r="AG141" s="111">
        <v>0.0</v>
      </c>
      <c r="AH141" s="1"/>
      <c r="AI141" s="224">
        <v>0.0</v>
      </c>
      <c r="AJ141" s="224">
        <v>0.0</v>
      </c>
      <c r="AK141" s="224">
        <v>0.0</v>
      </c>
      <c r="AL141" s="224">
        <v>0.0</v>
      </c>
      <c r="AM141" s="224">
        <v>0.0</v>
      </c>
      <c r="AN141" s="224">
        <v>0.0</v>
      </c>
      <c r="AO141" s="224">
        <v>0.0</v>
      </c>
      <c r="AP141" s="1"/>
      <c r="AQ141" s="248">
        <f t="shared" ref="AQ141:AW141" si="303">0.1*(K136+K138)+0.4*(S136+S138)</f>
        <v>6893.4</v>
      </c>
      <c r="AR141" s="248">
        <f t="shared" si="303"/>
        <v>6867.39587</v>
      </c>
      <c r="AS141" s="248">
        <f t="shared" si="303"/>
        <v>8328.912983</v>
      </c>
      <c r="AT141" s="248">
        <f t="shared" si="303"/>
        <v>10906.55479</v>
      </c>
      <c r="AU141" s="248">
        <f t="shared" si="303"/>
        <v>14120.87611</v>
      </c>
      <c r="AV141" s="248">
        <f t="shared" si="303"/>
        <v>17232.04378</v>
      </c>
      <c r="AW141" s="248">
        <f t="shared" si="303"/>
        <v>20106.69429</v>
      </c>
      <c r="AX141" s="249"/>
      <c r="AY141" s="94"/>
      <c r="AZ141" s="94"/>
      <c r="BA141" s="94"/>
      <c r="BB141" s="94"/>
      <c r="BC141" s="94"/>
      <c r="BD141" s="94"/>
      <c r="BE141" s="1"/>
      <c r="BF141" s="94"/>
      <c r="BG141" s="94"/>
      <c r="BH141" s="1"/>
      <c r="BI141" s="94"/>
      <c r="BJ141" s="94"/>
      <c r="BK141" s="94"/>
      <c r="BL141" s="94"/>
      <c r="BM141" s="94"/>
      <c r="BN141" s="1"/>
      <c r="BO141" s="95"/>
      <c r="BP141" s="95"/>
      <c r="BQ141" s="95"/>
      <c r="BR141" s="95"/>
      <c r="BS141" s="95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</row>
    <row r="142" ht="19.5" customHeight="1">
      <c r="A142" s="1"/>
      <c r="B142" s="247" t="s">
        <v>188</v>
      </c>
      <c r="C142" s="84">
        <f t="shared" ref="C142:I142" si="304">C143+C146</f>
        <v>9990</v>
      </c>
      <c r="D142" s="84">
        <f t="shared" si="304"/>
        <v>7031</v>
      </c>
      <c r="E142" s="84">
        <f t="shared" si="304"/>
        <v>5877</v>
      </c>
      <c r="F142" s="84">
        <f t="shared" si="304"/>
        <v>5877</v>
      </c>
      <c r="G142" s="84">
        <f t="shared" si="304"/>
        <v>5877</v>
      </c>
      <c r="H142" s="84">
        <f t="shared" si="304"/>
        <v>5877</v>
      </c>
      <c r="I142" s="86">
        <f t="shared" si="304"/>
        <v>5877</v>
      </c>
      <c r="J142" s="1"/>
      <c r="K142" s="84">
        <f t="shared" ref="K142:Q142" si="305">K143+K146</f>
        <v>16220</v>
      </c>
      <c r="L142" s="84">
        <f t="shared" si="305"/>
        <v>16225.74996</v>
      </c>
      <c r="M142" s="84">
        <f t="shared" si="305"/>
        <v>16956.09479</v>
      </c>
      <c r="N142" s="84">
        <f t="shared" si="305"/>
        <v>17759.4741</v>
      </c>
      <c r="O142" s="84">
        <f t="shared" si="305"/>
        <v>18643.19134</v>
      </c>
      <c r="P142" s="84">
        <f t="shared" si="305"/>
        <v>19615.2803</v>
      </c>
      <c r="Q142" s="86">
        <f t="shared" si="305"/>
        <v>20684.57817</v>
      </c>
      <c r="R142" s="1"/>
      <c r="S142" s="84">
        <f t="shared" ref="S142:Y142" si="306">S143+S146</f>
        <v>5350</v>
      </c>
      <c r="T142" s="84">
        <f t="shared" si="306"/>
        <v>4645</v>
      </c>
      <c r="U142" s="84">
        <f t="shared" si="306"/>
        <v>4644.5</v>
      </c>
      <c r="V142" s="84">
        <f t="shared" si="306"/>
        <v>6475.7</v>
      </c>
      <c r="W142" s="84">
        <f t="shared" si="306"/>
        <v>9000</v>
      </c>
      <c r="X142" s="84">
        <f t="shared" si="306"/>
        <v>11500</v>
      </c>
      <c r="Y142" s="86">
        <f t="shared" si="306"/>
        <v>13500</v>
      </c>
      <c r="Z142" s="1"/>
      <c r="AA142" s="84">
        <f t="shared" ref="AA142:AG142" si="307">AA143+AA146</f>
        <v>1500</v>
      </c>
      <c r="AB142" s="84">
        <f t="shared" si="307"/>
        <v>1339.815333</v>
      </c>
      <c r="AC142" s="84">
        <f t="shared" si="307"/>
        <v>2339.815333</v>
      </c>
      <c r="AD142" s="84">
        <f t="shared" si="307"/>
        <v>3339.815333</v>
      </c>
      <c r="AE142" s="84">
        <f t="shared" si="307"/>
        <v>4339.815333</v>
      </c>
      <c r="AF142" s="84">
        <f t="shared" si="307"/>
        <v>5339.815333</v>
      </c>
      <c r="AG142" s="86">
        <f t="shared" si="307"/>
        <v>6339.815333</v>
      </c>
      <c r="AH142" s="1"/>
      <c r="AI142" s="224">
        <v>0.0</v>
      </c>
      <c r="AJ142" s="224">
        <v>0.0</v>
      </c>
      <c r="AK142" s="224">
        <v>0.0</v>
      </c>
      <c r="AL142" s="224">
        <v>0.0</v>
      </c>
      <c r="AM142" s="224">
        <v>0.0</v>
      </c>
      <c r="AN142" s="224">
        <v>0.0</v>
      </c>
      <c r="AO142" s="224">
        <v>0.0</v>
      </c>
      <c r="AP142" s="1"/>
      <c r="AQ142" s="225">
        <f>AQ143+AQ146</f>
        <v>30960</v>
      </c>
      <c r="AR142" s="225">
        <f t="shared" ref="AR142:AW142" si="308">D142+L142+T142+AJ142</f>
        <v>27901.74996</v>
      </c>
      <c r="AS142" s="225">
        <f t="shared" si="308"/>
        <v>27477.59479</v>
      </c>
      <c r="AT142" s="225">
        <f t="shared" si="308"/>
        <v>30112.1741</v>
      </c>
      <c r="AU142" s="225">
        <f t="shared" si="308"/>
        <v>33520.19134</v>
      </c>
      <c r="AV142" s="225">
        <f t="shared" si="308"/>
        <v>36992.2803</v>
      </c>
      <c r="AW142" s="225">
        <f t="shared" si="308"/>
        <v>40061.57817</v>
      </c>
      <c r="AX142" s="94"/>
      <c r="AY142" s="94"/>
      <c r="AZ142" s="94"/>
      <c r="BA142" s="94"/>
      <c r="BB142" s="94"/>
      <c r="BC142" s="94"/>
      <c r="BD142" s="94"/>
      <c r="BE142" s="1"/>
      <c r="BF142" s="94"/>
      <c r="BG142" s="94"/>
      <c r="BH142" s="1"/>
      <c r="BI142" s="94"/>
      <c r="BJ142" s="94"/>
      <c r="BK142" s="94"/>
      <c r="BL142" s="94"/>
      <c r="BM142" s="94"/>
      <c r="BN142" s="1"/>
      <c r="BO142" s="95"/>
      <c r="BP142" s="95"/>
      <c r="BQ142" s="95"/>
      <c r="BR142" s="95"/>
      <c r="BS142" s="95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</row>
    <row r="143" ht="19.5" customHeight="1">
      <c r="A143" s="1"/>
      <c r="B143" s="244" t="s">
        <v>189</v>
      </c>
      <c r="C143" s="84">
        <f t="shared" ref="C143:I143" si="309">SUM(C144:C145)</f>
        <v>1290</v>
      </c>
      <c r="D143" s="84">
        <f t="shared" si="309"/>
        <v>1290</v>
      </c>
      <c r="E143" s="84">
        <f t="shared" si="309"/>
        <v>136</v>
      </c>
      <c r="F143" s="84">
        <f t="shared" si="309"/>
        <v>136</v>
      </c>
      <c r="G143" s="84">
        <f t="shared" si="309"/>
        <v>136</v>
      </c>
      <c r="H143" s="84">
        <f t="shared" si="309"/>
        <v>136</v>
      </c>
      <c r="I143" s="86">
        <f t="shared" si="309"/>
        <v>136</v>
      </c>
      <c r="J143" s="1"/>
      <c r="K143" s="84">
        <f t="shared" ref="K143:Q143" si="310">SUM(K144:K145)</f>
        <v>8500</v>
      </c>
      <c r="L143" s="84">
        <f t="shared" si="310"/>
        <v>8500</v>
      </c>
      <c r="M143" s="84">
        <f t="shared" si="310"/>
        <v>8500</v>
      </c>
      <c r="N143" s="84">
        <f t="shared" si="310"/>
        <v>8500</v>
      </c>
      <c r="O143" s="84">
        <f t="shared" si="310"/>
        <v>8500</v>
      </c>
      <c r="P143" s="84">
        <f t="shared" si="310"/>
        <v>8500</v>
      </c>
      <c r="Q143" s="86">
        <f t="shared" si="310"/>
        <v>8500</v>
      </c>
      <c r="R143" s="1"/>
      <c r="S143" s="84">
        <f t="shared" ref="S143:Y143" si="311">SUM(S144:S145)</f>
        <v>4100</v>
      </c>
      <c r="T143" s="84">
        <f t="shared" si="311"/>
        <v>4100</v>
      </c>
      <c r="U143" s="84">
        <f t="shared" si="311"/>
        <v>3500</v>
      </c>
      <c r="V143" s="84">
        <f t="shared" si="311"/>
        <v>3500</v>
      </c>
      <c r="W143" s="84">
        <f t="shared" si="311"/>
        <v>3500</v>
      </c>
      <c r="X143" s="84">
        <f t="shared" si="311"/>
        <v>3500</v>
      </c>
      <c r="Y143" s="86">
        <f t="shared" si="311"/>
        <v>3500</v>
      </c>
      <c r="Z143" s="1"/>
      <c r="AA143" s="84">
        <f t="shared" ref="AA143:AG143" si="312">SUM(AA144:AA145)</f>
        <v>0</v>
      </c>
      <c r="AB143" s="84">
        <f t="shared" si="312"/>
        <v>0</v>
      </c>
      <c r="AC143" s="84">
        <f t="shared" si="312"/>
        <v>0</v>
      </c>
      <c r="AD143" s="84">
        <f t="shared" si="312"/>
        <v>0</v>
      </c>
      <c r="AE143" s="84">
        <f t="shared" si="312"/>
        <v>0</v>
      </c>
      <c r="AF143" s="84">
        <f t="shared" si="312"/>
        <v>0</v>
      </c>
      <c r="AG143" s="86">
        <f t="shared" si="312"/>
        <v>0</v>
      </c>
      <c r="AH143" s="1"/>
      <c r="AI143" s="224">
        <v>0.0</v>
      </c>
      <c r="AJ143" s="224">
        <v>0.0</v>
      </c>
      <c r="AK143" s="224">
        <v>0.0</v>
      </c>
      <c r="AL143" s="224">
        <v>0.0</v>
      </c>
      <c r="AM143" s="224">
        <v>0.0</v>
      </c>
      <c r="AN143" s="224">
        <v>0.0</v>
      </c>
      <c r="AO143" s="224">
        <v>0.0</v>
      </c>
      <c r="AP143" s="1"/>
      <c r="AQ143" s="225">
        <f>AQ144+AQ145</f>
        <v>13290</v>
      </c>
      <c r="AR143" s="225">
        <f t="shared" ref="AR143:AW143" si="313">D143+L143+T143+AJ143</f>
        <v>13890</v>
      </c>
      <c r="AS143" s="225">
        <f t="shared" si="313"/>
        <v>12136</v>
      </c>
      <c r="AT143" s="225">
        <f t="shared" si="313"/>
        <v>12136</v>
      </c>
      <c r="AU143" s="225">
        <f t="shared" si="313"/>
        <v>12136</v>
      </c>
      <c r="AV143" s="225">
        <f t="shared" si="313"/>
        <v>12136</v>
      </c>
      <c r="AW143" s="225">
        <f t="shared" si="313"/>
        <v>12136</v>
      </c>
      <c r="AX143" s="94"/>
      <c r="AY143" s="94"/>
      <c r="AZ143" s="94"/>
      <c r="BA143" s="94"/>
      <c r="BB143" s="94"/>
      <c r="BC143" s="94"/>
      <c r="BD143" s="94"/>
      <c r="BE143" s="1"/>
      <c r="BF143" s="94"/>
      <c r="BG143" s="94"/>
      <c r="BH143" s="1"/>
      <c r="BI143" s="94"/>
      <c r="BJ143" s="94"/>
      <c r="BK143" s="94"/>
      <c r="BL143" s="94"/>
      <c r="BM143" s="94"/>
      <c r="BN143" s="1"/>
      <c r="BO143" s="95"/>
      <c r="BP143" s="95"/>
      <c r="BQ143" s="95"/>
      <c r="BR143" s="95"/>
      <c r="BS143" s="95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ht="19.5" customHeight="1">
      <c r="A144" s="1"/>
      <c r="B144" s="233" t="s">
        <v>190</v>
      </c>
      <c r="C144" s="234">
        <v>1154.0</v>
      </c>
      <c r="D144" s="234">
        <v>1154.0</v>
      </c>
      <c r="E144" s="236">
        <v>0.0</v>
      </c>
      <c r="F144" s="236">
        <v>0.0</v>
      </c>
      <c r="G144" s="236">
        <v>0.0</v>
      </c>
      <c r="H144" s="236">
        <v>0.0</v>
      </c>
      <c r="I144" s="235">
        <v>0.0</v>
      </c>
      <c r="J144" s="1"/>
      <c r="K144" s="234">
        <v>0.0</v>
      </c>
      <c r="L144" s="234">
        <v>0.0</v>
      </c>
      <c r="M144" s="236">
        <v>0.0</v>
      </c>
      <c r="N144" s="236">
        <v>0.0</v>
      </c>
      <c r="O144" s="236">
        <v>0.0</v>
      </c>
      <c r="P144" s="236">
        <v>0.0</v>
      </c>
      <c r="Q144" s="235">
        <v>0.0</v>
      </c>
      <c r="R144" s="1"/>
      <c r="S144" s="234">
        <v>600.0</v>
      </c>
      <c r="T144" s="234">
        <v>600.0</v>
      </c>
      <c r="U144" s="236">
        <v>0.0</v>
      </c>
      <c r="V144" s="236">
        <v>0.0</v>
      </c>
      <c r="W144" s="236">
        <v>0.0</v>
      </c>
      <c r="X144" s="236">
        <v>0.0</v>
      </c>
      <c r="Y144" s="235">
        <v>0.0</v>
      </c>
      <c r="Z144" s="1"/>
      <c r="AA144" s="234">
        <v>0.0</v>
      </c>
      <c r="AB144" s="234">
        <v>0.0</v>
      </c>
      <c r="AC144" s="236">
        <v>0.0</v>
      </c>
      <c r="AD144" s="236">
        <v>0.0</v>
      </c>
      <c r="AE144" s="236">
        <v>0.0</v>
      </c>
      <c r="AF144" s="236">
        <v>0.0</v>
      </c>
      <c r="AG144" s="235">
        <v>0.0</v>
      </c>
      <c r="AH144" s="1"/>
      <c r="AI144" s="232">
        <f t="shared" ref="AI144:AJ144" si="314">AI123</f>
        <v>-600</v>
      </c>
      <c r="AJ144" s="232">
        <f t="shared" si="314"/>
        <v>-600</v>
      </c>
      <c r="AK144" s="224">
        <v>0.0</v>
      </c>
      <c r="AL144" s="224">
        <v>0.0</v>
      </c>
      <c r="AM144" s="224">
        <v>0.0</v>
      </c>
      <c r="AN144" s="224">
        <v>0.0</v>
      </c>
      <c r="AO144" s="224">
        <v>0.0</v>
      </c>
      <c r="AP144" s="1"/>
      <c r="AQ144" s="225">
        <f t="shared" ref="AQ144:AW144" si="315">C144+K144+S144+AI144</f>
        <v>1154</v>
      </c>
      <c r="AR144" s="225">
        <f t="shared" si="315"/>
        <v>1154</v>
      </c>
      <c r="AS144" s="225">
        <f t="shared" si="315"/>
        <v>0</v>
      </c>
      <c r="AT144" s="225">
        <f t="shared" si="315"/>
        <v>0</v>
      </c>
      <c r="AU144" s="225">
        <f t="shared" si="315"/>
        <v>0</v>
      </c>
      <c r="AV144" s="225">
        <f t="shared" si="315"/>
        <v>0</v>
      </c>
      <c r="AW144" s="225">
        <f t="shared" si="315"/>
        <v>0</v>
      </c>
      <c r="AX144" s="58"/>
      <c r="AY144" s="58"/>
      <c r="AZ144" s="58"/>
      <c r="BA144" s="58"/>
      <c r="BB144" s="58"/>
      <c r="BC144" s="58"/>
      <c r="BD144" s="58"/>
      <c r="BE144" s="1"/>
      <c r="BF144" s="58"/>
      <c r="BG144" s="58"/>
      <c r="BH144" s="1"/>
      <c r="BI144" s="58"/>
      <c r="BJ144" s="58"/>
      <c r="BK144" s="58"/>
      <c r="BL144" s="58"/>
      <c r="BM144" s="58"/>
      <c r="BN144" s="1"/>
      <c r="BO144" s="103"/>
      <c r="BP144" s="103"/>
      <c r="BQ144" s="103"/>
      <c r="BR144" s="103"/>
      <c r="BS144" s="103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</row>
    <row r="145" ht="19.5" customHeight="1">
      <c r="A145" s="1"/>
      <c r="B145" s="233" t="s">
        <v>191</v>
      </c>
      <c r="C145" s="99">
        <v>136.0</v>
      </c>
      <c r="D145" s="99">
        <v>136.0</v>
      </c>
      <c r="E145" s="97">
        <v>136.0</v>
      </c>
      <c r="F145" s="97">
        <v>136.0</v>
      </c>
      <c r="G145" s="97">
        <v>136.0</v>
      </c>
      <c r="H145" s="97">
        <v>136.0</v>
      </c>
      <c r="I145" s="98">
        <v>136.0</v>
      </c>
      <c r="J145" s="1"/>
      <c r="K145" s="99">
        <v>8500.0</v>
      </c>
      <c r="L145" s="99">
        <v>8500.0</v>
      </c>
      <c r="M145" s="97">
        <v>8500.0</v>
      </c>
      <c r="N145" s="97">
        <v>8500.0</v>
      </c>
      <c r="O145" s="97">
        <v>8500.0</v>
      </c>
      <c r="P145" s="97">
        <v>8500.0</v>
      </c>
      <c r="Q145" s="235">
        <v>8500.0</v>
      </c>
      <c r="R145" s="1"/>
      <c r="S145" s="99">
        <v>3500.0</v>
      </c>
      <c r="T145" s="99">
        <v>3500.0</v>
      </c>
      <c r="U145" s="97">
        <v>3500.0</v>
      </c>
      <c r="V145" s="97">
        <v>3500.0</v>
      </c>
      <c r="W145" s="97">
        <v>3500.0</v>
      </c>
      <c r="X145" s="97">
        <v>3500.0</v>
      </c>
      <c r="Y145" s="98">
        <v>3500.0</v>
      </c>
      <c r="Z145" s="1"/>
      <c r="AA145" s="99">
        <v>0.0</v>
      </c>
      <c r="AB145" s="99">
        <v>0.0</v>
      </c>
      <c r="AC145" s="97">
        <v>0.0</v>
      </c>
      <c r="AD145" s="97">
        <v>0.0</v>
      </c>
      <c r="AE145" s="97">
        <v>0.0</v>
      </c>
      <c r="AF145" s="97">
        <v>0.0</v>
      </c>
      <c r="AG145" s="98">
        <v>0.0</v>
      </c>
      <c r="AH145" s="1"/>
      <c r="AI145" s="224">
        <v>0.0</v>
      </c>
      <c r="AJ145" s="224">
        <v>0.0</v>
      </c>
      <c r="AK145" s="224">
        <v>0.0</v>
      </c>
      <c r="AL145" s="224">
        <v>0.0</v>
      </c>
      <c r="AM145" s="224">
        <v>0.0</v>
      </c>
      <c r="AN145" s="224">
        <v>0.0</v>
      </c>
      <c r="AO145" s="224">
        <v>0.0</v>
      </c>
      <c r="AP145" s="1"/>
      <c r="AQ145" s="225">
        <f t="shared" ref="AQ145:AW145" si="316">C145+K145+S145+AI145</f>
        <v>12136</v>
      </c>
      <c r="AR145" s="225">
        <f t="shared" si="316"/>
        <v>12136</v>
      </c>
      <c r="AS145" s="225">
        <f t="shared" si="316"/>
        <v>12136</v>
      </c>
      <c r="AT145" s="225">
        <f t="shared" si="316"/>
        <v>12136</v>
      </c>
      <c r="AU145" s="225">
        <f t="shared" si="316"/>
        <v>12136</v>
      </c>
      <c r="AV145" s="225">
        <f t="shared" si="316"/>
        <v>12136</v>
      </c>
      <c r="AW145" s="225">
        <f t="shared" si="316"/>
        <v>12136</v>
      </c>
      <c r="AX145" s="58"/>
      <c r="AY145" s="58"/>
      <c r="AZ145" s="58"/>
      <c r="BA145" s="58"/>
      <c r="BB145" s="58"/>
      <c r="BC145" s="58"/>
      <c r="BD145" s="58"/>
      <c r="BE145" s="1"/>
      <c r="BF145" s="58"/>
      <c r="BG145" s="58"/>
      <c r="BH145" s="1"/>
      <c r="BI145" s="58"/>
      <c r="BJ145" s="58"/>
      <c r="BK145" s="58"/>
      <c r="BL145" s="58"/>
      <c r="BM145" s="58"/>
      <c r="BN145" s="1"/>
      <c r="BO145" s="103"/>
      <c r="BP145" s="103"/>
      <c r="BQ145" s="103"/>
      <c r="BR145" s="103"/>
      <c r="BS145" s="103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</row>
    <row r="146" ht="19.5" customHeight="1">
      <c r="A146" s="1"/>
      <c r="B146" s="244" t="s">
        <v>192</v>
      </c>
      <c r="C146" s="84">
        <f t="shared" ref="C146:I146" si="317">SUM(C147:C148)</f>
        <v>8700</v>
      </c>
      <c r="D146" s="84">
        <f t="shared" si="317"/>
        <v>5741</v>
      </c>
      <c r="E146" s="84">
        <f t="shared" si="317"/>
        <v>5741</v>
      </c>
      <c r="F146" s="84">
        <f t="shared" si="317"/>
        <v>5741</v>
      </c>
      <c r="G146" s="84">
        <f t="shared" si="317"/>
        <v>5741</v>
      </c>
      <c r="H146" s="84">
        <f t="shared" si="317"/>
        <v>5741</v>
      </c>
      <c r="I146" s="86">
        <f t="shared" si="317"/>
        <v>5741</v>
      </c>
      <c r="J146" s="1"/>
      <c r="K146" s="84">
        <f t="shared" ref="K146:Q146" si="318">SUM(K147:K148)</f>
        <v>7720</v>
      </c>
      <c r="L146" s="84">
        <f t="shared" si="318"/>
        <v>7725.749959</v>
      </c>
      <c r="M146" s="84">
        <f t="shared" si="318"/>
        <v>8456.094786</v>
      </c>
      <c r="N146" s="84">
        <f t="shared" si="318"/>
        <v>9259.474097</v>
      </c>
      <c r="O146" s="84">
        <f t="shared" si="318"/>
        <v>10143.19134</v>
      </c>
      <c r="P146" s="84">
        <f t="shared" si="318"/>
        <v>11115.2803</v>
      </c>
      <c r="Q146" s="86">
        <f t="shared" si="318"/>
        <v>12184.57817</v>
      </c>
      <c r="R146" s="1"/>
      <c r="S146" s="84">
        <f t="shared" ref="S146:Y146" si="319">SUM(S147:S148)</f>
        <v>1250</v>
      </c>
      <c r="T146" s="84">
        <f t="shared" si="319"/>
        <v>545</v>
      </c>
      <c r="U146" s="84">
        <f t="shared" si="319"/>
        <v>1144.5</v>
      </c>
      <c r="V146" s="84">
        <f t="shared" si="319"/>
        <v>2975.7</v>
      </c>
      <c r="W146" s="84">
        <f t="shared" si="319"/>
        <v>5500</v>
      </c>
      <c r="X146" s="84">
        <f t="shared" si="319"/>
        <v>8000</v>
      </c>
      <c r="Y146" s="86">
        <f t="shared" si="319"/>
        <v>10000</v>
      </c>
      <c r="Z146" s="1"/>
      <c r="AA146" s="84">
        <f t="shared" ref="AA146:AG146" si="320">SUM(AA147:AA148)</f>
        <v>1500</v>
      </c>
      <c r="AB146" s="84">
        <f t="shared" si="320"/>
        <v>1339.815333</v>
      </c>
      <c r="AC146" s="84">
        <f t="shared" si="320"/>
        <v>2339.815333</v>
      </c>
      <c r="AD146" s="84">
        <f t="shared" si="320"/>
        <v>3339.815333</v>
      </c>
      <c r="AE146" s="84">
        <f t="shared" si="320"/>
        <v>4339.815333</v>
      </c>
      <c r="AF146" s="84">
        <f t="shared" si="320"/>
        <v>5339.815333</v>
      </c>
      <c r="AG146" s="86">
        <f t="shared" si="320"/>
        <v>6339.815333</v>
      </c>
      <c r="AH146" s="1"/>
      <c r="AI146" s="224">
        <v>0.0</v>
      </c>
      <c r="AJ146" s="224">
        <v>0.0</v>
      </c>
      <c r="AK146" s="224">
        <v>0.0</v>
      </c>
      <c r="AL146" s="224">
        <v>0.0</v>
      </c>
      <c r="AM146" s="224">
        <v>0.0</v>
      </c>
      <c r="AN146" s="224">
        <v>0.0</v>
      </c>
      <c r="AO146" s="224">
        <v>0.0</v>
      </c>
      <c r="AP146" s="1"/>
      <c r="AQ146" s="225">
        <f>AQ147+AQ148</f>
        <v>17670</v>
      </c>
      <c r="AR146" s="225">
        <f t="shared" ref="AR146:AW146" si="321">D146+L146+T146+AJ146</f>
        <v>14011.74996</v>
      </c>
      <c r="AS146" s="225">
        <f t="shared" si="321"/>
        <v>15341.59479</v>
      </c>
      <c r="AT146" s="225">
        <f t="shared" si="321"/>
        <v>17976.1741</v>
      </c>
      <c r="AU146" s="225">
        <f t="shared" si="321"/>
        <v>21384.19134</v>
      </c>
      <c r="AV146" s="225">
        <f t="shared" si="321"/>
        <v>24856.2803</v>
      </c>
      <c r="AW146" s="225">
        <f t="shared" si="321"/>
        <v>27925.57817</v>
      </c>
      <c r="AX146" s="94"/>
      <c r="AY146" s="94"/>
      <c r="AZ146" s="94"/>
      <c r="BA146" s="94"/>
      <c r="BB146" s="94"/>
      <c r="BC146" s="94"/>
      <c r="BD146" s="94"/>
      <c r="BE146" s="1"/>
      <c r="BF146" s="94"/>
      <c r="BG146" s="94"/>
      <c r="BH146" s="1"/>
      <c r="BI146" s="94"/>
      <c r="BJ146" s="94"/>
      <c r="BK146" s="94"/>
      <c r="BL146" s="94"/>
      <c r="BM146" s="94"/>
      <c r="BN146" s="1"/>
      <c r="BO146" s="95"/>
      <c r="BP146" s="95"/>
      <c r="BQ146" s="95"/>
      <c r="BR146" s="95"/>
      <c r="BS146" s="95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</row>
    <row r="147" ht="19.5" customHeight="1">
      <c r="A147" s="1"/>
      <c r="B147" s="233" t="s">
        <v>193</v>
      </c>
      <c r="C147" s="234">
        <v>4700.0</v>
      </c>
      <c r="D147" s="234">
        <v>3747.0</v>
      </c>
      <c r="E147" s="236">
        <v>3747.0</v>
      </c>
      <c r="F147" s="236">
        <v>3747.0</v>
      </c>
      <c r="G147" s="236">
        <v>3747.0</v>
      </c>
      <c r="H147" s="236">
        <v>3747.0</v>
      </c>
      <c r="I147" s="235">
        <v>3747.0</v>
      </c>
      <c r="J147" s="1"/>
      <c r="K147" s="234">
        <v>420.0</v>
      </c>
      <c r="L147" s="234">
        <v>422.30168275862076</v>
      </c>
      <c r="M147" s="236">
        <v>422.30168275862076</v>
      </c>
      <c r="N147" s="236">
        <v>422.30168275862076</v>
      </c>
      <c r="O147" s="236">
        <v>422.30168275862076</v>
      </c>
      <c r="P147" s="236">
        <v>422.30168275862076</v>
      </c>
      <c r="Q147" s="235">
        <v>422.30168275862076</v>
      </c>
      <c r="R147" s="1"/>
      <c r="S147" s="234">
        <v>0.0</v>
      </c>
      <c r="T147" s="234">
        <v>0.0</v>
      </c>
      <c r="U147" s="236">
        <v>0.0</v>
      </c>
      <c r="V147" s="236">
        <v>0.0</v>
      </c>
      <c r="W147" s="236">
        <v>0.0</v>
      </c>
      <c r="X147" s="236">
        <v>0.0</v>
      </c>
      <c r="Y147" s="235">
        <v>0.0</v>
      </c>
      <c r="Z147" s="1"/>
      <c r="AA147" s="234">
        <v>0.0</v>
      </c>
      <c r="AB147" s="234">
        <v>0.0</v>
      </c>
      <c r="AC147" s="236">
        <v>0.0</v>
      </c>
      <c r="AD147" s="236">
        <v>0.0</v>
      </c>
      <c r="AE147" s="236">
        <v>0.0</v>
      </c>
      <c r="AF147" s="236">
        <v>0.0</v>
      </c>
      <c r="AG147" s="235">
        <v>0.0</v>
      </c>
      <c r="AH147" s="1"/>
      <c r="AI147" s="224">
        <v>0.0</v>
      </c>
      <c r="AJ147" s="224">
        <v>0.0</v>
      </c>
      <c r="AK147" s="224">
        <v>0.0</v>
      </c>
      <c r="AL147" s="224">
        <v>0.0</v>
      </c>
      <c r="AM147" s="224">
        <v>0.0</v>
      </c>
      <c r="AN147" s="224">
        <v>0.0</v>
      </c>
      <c r="AO147" s="224">
        <v>0.0</v>
      </c>
      <c r="AP147" s="1"/>
      <c r="AQ147" s="225">
        <f t="shared" ref="AQ147:AW147" si="322">C147+K147+S147+AI147</f>
        <v>5120</v>
      </c>
      <c r="AR147" s="225">
        <f t="shared" si="322"/>
        <v>4169.301683</v>
      </c>
      <c r="AS147" s="225">
        <f t="shared" si="322"/>
        <v>4169.301683</v>
      </c>
      <c r="AT147" s="225">
        <f t="shared" si="322"/>
        <v>4169.301683</v>
      </c>
      <c r="AU147" s="225">
        <f t="shared" si="322"/>
        <v>4169.301683</v>
      </c>
      <c r="AV147" s="225">
        <f t="shared" si="322"/>
        <v>4169.301683</v>
      </c>
      <c r="AW147" s="225">
        <f t="shared" si="322"/>
        <v>4169.301683</v>
      </c>
      <c r="AX147" s="58"/>
      <c r="AY147" s="58"/>
      <c r="AZ147" s="58"/>
      <c r="BA147" s="58"/>
      <c r="BB147" s="58"/>
      <c r="BC147" s="58"/>
      <c r="BD147" s="58"/>
      <c r="BE147" s="1"/>
      <c r="BF147" s="58"/>
      <c r="BG147" s="58"/>
      <c r="BH147" s="1"/>
      <c r="BI147" s="58"/>
      <c r="BJ147" s="58"/>
      <c r="BK147" s="58"/>
      <c r="BL147" s="58"/>
      <c r="BM147" s="58"/>
      <c r="BN147" s="1"/>
      <c r="BO147" s="103"/>
      <c r="BP147" s="103"/>
      <c r="BQ147" s="103"/>
      <c r="BR147" s="103"/>
      <c r="BS147" s="103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</row>
    <row r="148" ht="19.5" customHeight="1">
      <c r="A148" s="1"/>
      <c r="B148" s="257" t="s">
        <v>194</v>
      </c>
      <c r="C148" s="258">
        <v>4000.0</v>
      </c>
      <c r="D148" s="258">
        <v>1994.0</v>
      </c>
      <c r="E148" s="259">
        <v>1994.0</v>
      </c>
      <c r="F148" s="259">
        <v>1994.0</v>
      </c>
      <c r="G148" s="259">
        <v>1994.0</v>
      </c>
      <c r="H148" s="259">
        <v>1994.0</v>
      </c>
      <c r="I148" s="260">
        <v>1994.0</v>
      </c>
      <c r="J148" s="1"/>
      <c r="K148" s="258">
        <v>7300.0</v>
      </c>
      <c r="L148" s="258">
        <v>7303.44827586207</v>
      </c>
      <c r="M148" s="259">
        <v>8033.793103448277</v>
      </c>
      <c r="N148" s="259">
        <v>8837.172413793105</v>
      </c>
      <c r="O148" s="259">
        <v>9720.889655172416</v>
      </c>
      <c r="P148" s="259">
        <v>10692.978620689659</v>
      </c>
      <c r="Q148" s="260">
        <v>11762.276482758625</v>
      </c>
      <c r="R148" s="1"/>
      <c r="S148" s="258">
        <v>1250.0</v>
      </c>
      <c r="T148" s="258">
        <v>545.0</v>
      </c>
      <c r="U148" s="259">
        <v>1144.5</v>
      </c>
      <c r="V148" s="259">
        <v>2975.7000000000003</v>
      </c>
      <c r="W148" s="259">
        <v>5500.0</v>
      </c>
      <c r="X148" s="259">
        <v>8000.0</v>
      </c>
      <c r="Y148" s="260">
        <v>10000.0</v>
      </c>
      <c r="Z148" s="1"/>
      <c r="AA148" s="258">
        <v>1500.0</v>
      </c>
      <c r="AB148" s="258">
        <v>1339.81533333333</v>
      </c>
      <c r="AC148" s="259">
        <v>2339.8153333333303</v>
      </c>
      <c r="AD148" s="259">
        <v>3339.8153333333303</v>
      </c>
      <c r="AE148" s="259">
        <v>4339.81533333333</v>
      </c>
      <c r="AF148" s="259">
        <v>5339.81533333333</v>
      </c>
      <c r="AG148" s="260">
        <v>6339.81533333333</v>
      </c>
      <c r="AH148" s="1"/>
      <c r="AI148" s="224">
        <v>0.0</v>
      </c>
      <c r="AJ148" s="224">
        <v>0.0</v>
      </c>
      <c r="AK148" s="224">
        <v>0.0</v>
      </c>
      <c r="AL148" s="224">
        <v>0.0</v>
      </c>
      <c r="AM148" s="224">
        <v>0.0</v>
      </c>
      <c r="AN148" s="224">
        <v>0.0</v>
      </c>
      <c r="AO148" s="224">
        <v>0.0</v>
      </c>
      <c r="AP148" s="1"/>
      <c r="AQ148" s="225">
        <f t="shared" ref="AQ148:AW148" si="323">C148+K148+S148+AI148</f>
        <v>12550</v>
      </c>
      <c r="AR148" s="225">
        <f t="shared" si="323"/>
        <v>9842.448276</v>
      </c>
      <c r="AS148" s="225">
        <f t="shared" si="323"/>
        <v>11172.2931</v>
      </c>
      <c r="AT148" s="225">
        <f t="shared" si="323"/>
        <v>13806.87241</v>
      </c>
      <c r="AU148" s="225">
        <f t="shared" si="323"/>
        <v>17214.88966</v>
      </c>
      <c r="AV148" s="225">
        <f t="shared" si="323"/>
        <v>20686.97862</v>
      </c>
      <c r="AW148" s="225">
        <f t="shared" si="323"/>
        <v>23756.27648</v>
      </c>
      <c r="AX148" s="58"/>
      <c r="AY148" s="58"/>
      <c r="AZ148" s="58"/>
      <c r="BA148" s="58"/>
      <c r="BB148" s="58"/>
      <c r="BC148" s="58"/>
      <c r="BD148" s="58"/>
      <c r="BE148" s="1"/>
      <c r="BF148" s="58"/>
      <c r="BG148" s="58"/>
      <c r="BH148" s="1"/>
      <c r="BI148" s="58"/>
      <c r="BJ148" s="58"/>
      <c r="BK148" s="58"/>
      <c r="BL148" s="58"/>
      <c r="BM148" s="58"/>
      <c r="BN148" s="1"/>
      <c r="BO148" s="103"/>
      <c r="BP148" s="103"/>
      <c r="BQ148" s="103"/>
      <c r="BR148" s="103"/>
      <c r="BS148" s="103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</row>
    <row r="149" ht="19.5" customHeight="1">
      <c r="A149" s="1"/>
      <c r="C149" s="58"/>
      <c r="D149" s="58"/>
      <c r="E149" s="58"/>
      <c r="F149" s="58"/>
      <c r="G149" s="58"/>
      <c r="H149" s="58"/>
      <c r="I149" s="58"/>
      <c r="J149" s="1"/>
      <c r="K149" s="58"/>
      <c r="L149" s="58"/>
      <c r="M149" s="58"/>
      <c r="N149" s="58"/>
      <c r="O149" s="58"/>
      <c r="P149" s="58"/>
      <c r="Q149" s="58"/>
      <c r="R149" s="1"/>
      <c r="S149" s="58"/>
      <c r="T149" s="58"/>
      <c r="U149" s="58"/>
      <c r="V149" s="58"/>
      <c r="W149" s="58"/>
      <c r="X149" s="58"/>
      <c r="Y149" s="58"/>
      <c r="Z149" s="1"/>
      <c r="AA149" s="58"/>
      <c r="AB149" s="58"/>
      <c r="AC149" s="58"/>
      <c r="AD149" s="58"/>
      <c r="AE149" s="58"/>
      <c r="AF149" s="58"/>
      <c r="AG149" s="58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58"/>
      <c r="AY149" s="58"/>
      <c r="AZ149" s="58"/>
      <c r="BA149" s="58"/>
      <c r="BB149" s="58"/>
      <c r="BC149" s="58"/>
      <c r="BD149" s="58"/>
      <c r="BE149" s="1"/>
      <c r="BF149" s="58"/>
      <c r="BG149" s="58"/>
      <c r="BH149" s="1"/>
      <c r="BI149" s="58"/>
      <c r="BJ149" s="58"/>
      <c r="BK149" s="58"/>
      <c r="BL149" s="58"/>
      <c r="BM149" s="58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</row>
    <row r="150" ht="19.5" customHeight="1">
      <c r="A150" s="1"/>
      <c r="B150" s="261"/>
      <c r="C150" s="58"/>
      <c r="D150" s="58"/>
      <c r="E150" s="58"/>
      <c r="F150" s="1"/>
      <c r="G150" s="1"/>
      <c r="H150" s="1"/>
      <c r="I150" s="1"/>
      <c r="J150" s="1"/>
      <c r="K150" s="58"/>
      <c r="L150" s="58"/>
      <c r="M150" s="58"/>
      <c r="N150" s="58"/>
      <c r="O150" s="58"/>
      <c r="P150" s="58"/>
      <c r="Q150" s="58"/>
      <c r="R150" s="1"/>
      <c r="S150" s="58"/>
      <c r="T150" s="58"/>
      <c r="U150" s="58"/>
      <c r="V150" s="58"/>
      <c r="W150" s="58"/>
      <c r="X150" s="58"/>
      <c r="Y150" s="58"/>
      <c r="Z150" s="1"/>
      <c r="AA150" s="58"/>
      <c r="AB150" s="58"/>
      <c r="AC150" s="58"/>
      <c r="AD150" s="58"/>
      <c r="AE150" s="58"/>
      <c r="AF150" s="58"/>
      <c r="AG150" s="58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58"/>
      <c r="AY150" s="58"/>
      <c r="AZ150" s="58"/>
      <c r="BA150" s="58"/>
      <c r="BB150" s="58"/>
      <c r="BC150" s="58"/>
      <c r="BD150" s="58"/>
      <c r="BE150" s="1"/>
      <c r="BF150" s="58"/>
      <c r="BG150" s="58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</row>
    <row r="151" ht="19.5" customHeight="1">
      <c r="A151" s="1"/>
      <c r="B151" s="261" t="s">
        <v>195</v>
      </c>
      <c r="C151" s="134">
        <v>7000.0</v>
      </c>
      <c r="D151" s="58">
        <v>10000.0</v>
      </c>
      <c r="E151" s="58">
        <v>18000.0</v>
      </c>
      <c r="F151" s="58">
        <v>22000.0</v>
      </c>
      <c r="G151" s="58">
        <v>27000.0</v>
      </c>
      <c r="H151" s="58">
        <v>34000.0</v>
      </c>
      <c r="I151" s="58">
        <v>41000.0</v>
      </c>
      <c r="J151" s="1"/>
      <c r="K151" s="58">
        <v>0.0</v>
      </c>
      <c r="L151" s="58">
        <v>0.0</v>
      </c>
      <c r="M151" s="58">
        <v>8000.0</v>
      </c>
      <c r="N151" s="58">
        <v>12000.0</v>
      </c>
      <c r="O151" s="58">
        <v>18000.0</v>
      </c>
      <c r="P151" s="58">
        <v>24000.0</v>
      </c>
      <c r="Q151" s="58">
        <v>31000.0</v>
      </c>
      <c r="R151" s="1"/>
      <c r="S151" s="58">
        <v>0.0</v>
      </c>
      <c r="T151" s="58">
        <v>0.0</v>
      </c>
      <c r="U151" s="58">
        <v>0.0</v>
      </c>
      <c r="V151" s="58">
        <v>1000.0</v>
      </c>
      <c r="W151" s="58">
        <v>5000.0</v>
      </c>
      <c r="X151" s="58">
        <v>15000.0</v>
      </c>
      <c r="Y151" s="58">
        <v>30000.0</v>
      </c>
      <c r="Z151" s="1"/>
      <c r="AA151" s="58">
        <v>0.0</v>
      </c>
      <c r="AB151" s="58">
        <v>0.0</v>
      </c>
      <c r="AC151" s="58">
        <v>0.0</v>
      </c>
      <c r="AD151" s="58">
        <v>0.0</v>
      </c>
      <c r="AE151" s="58">
        <v>0.0</v>
      </c>
      <c r="AF151" s="58">
        <v>0.0</v>
      </c>
      <c r="AG151" s="58">
        <v>3000.0</v>
      </c>
      <c r="AH151" s="1"/>
      <c r="AI151" s="1"/>
      <c r="AJ151" s="1"/>
      <c r="AK151" s="1"/>
      <c r="AL151" s="1"/>
      <c r="AM151" s="1"/>
      <c r="AN151" s="1"/>
      <c r="AO151" s="1"/>
      <c r="AP151" s="1"/>
      <c r="AQ151" s="262"/>
      <c r="AR151" s="263"/>
      <c r="AS151" s="263"/>
      <c r="AT151" s="263"/>
      <c r="AU151" s="263"/>
      <c r="AV151" s="263"/>
      <c r="AZ151" s="58"/>
      <c r="BA151" s="58"/>
      <c r="BB151" s="58"/>
      <c r="BC151" s="58"/>
      <c r="BD151" s="58"/>
      <c r="BE151" s="1"/>
      <c r="BF151" s="58"/>
      <c r="BG151" s="58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</row>
    <row r="152" ht="19.5" customHeight="1">
      <c r="A152" s="1"/>
      <c r="B152" s="261"/>
      <c r="C152" s="58"/>
      <c r="D152" s="58"/>
      <c r="E152" s="58"/>
      <c r="F152" s="58"/>
      <c r="G152" s="58"/>
      <c r="H152" s="58"/>
      <c r="I152" s="58"/>
      <c r="J152" s="1"/>
      <c r="K152" s="58"/>
      <c r="L152" s="58"/>
      <c r="M152" s="58"/>
      <c r="N152" s="58"/>
      <c r="O152" s="58"/>
      <c r="P152" s="58"/>
      <c r="Q152" s="58"/>
      <c r="R152" s="1"/>
      <c r="S152" s="58"/>
      <c r="T152" s="58"/>
      <c r="U152" s="58"/>
      <c r="V152" s="58"/>
      <c r="W152" s="58"/>
      <c r="X152" s="58"/>
      <c r="Y152" s="58"/>
      <c r="Z152" s="1"/>
      <c r="AA152" s="58"/>
      <c r="AB152" s="58"/>
      <c r="AC152" s="58"/>
      <c r="AD152" s="58"/>
      <c r="AE152" s="58"/>
      <c r="AF152" s="58"/>
      <c r="AG152" s="58"/>
      <c r="AH152" s="1"/>
      <c r="AI152" s="1"/>
      <c r="AJ152" s="1"/>
      <c r="AK152" s="1"/>
      <c r="AL152" s="1"/>
      <c r="AM152" s="1"/>
      <c r="AN152" s="1"/>
      <c r="AO152" s="1"/>
      <c r="AP152" s="1"/>
      <c r="AQ152" s="263"/>
      <c r="AR152" s="264"/>
      <c r="AS152" s="264"/>
      <c r="AT152" s="264"/>
      <c r="AU152" s="264"/>
      <c r="AV152" s="263"/>
      <c r="AZ152" s="58"/>
      <c r="BA152" s="58"/>
      <c r="BB152" s="58"/>
      <c r="BC152" s="58"/>
      <c r="BD152" s="58"/>
      <c r="BE152" s="1"/>
      <c r="BF152" s="58"/>
      <c r="BG152" s="58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</row>
    <row r="153" ht="19.5" customHeight="1">
      <c r="A153" s="1"/>
      <c r="B153" s="261" t="s">
        <v>196</v>
      </c>
      <c r="C153" s="58"/>
      <c r="D153" s="58"/>
      <c r="E153" s="58"/>
      <c r="F153" s="58"/>
      <c r="G153" s="58"/>
      <c r="H153" s="58"/>
      <c r="I153" s="58"/>
      <c r="J153" s="1"/>
      <c r="K153" s="58"/>
      <c r="L153" s="58"/>
      <c r="M153" s="58"/>
      <c r="N153" s="58"/>
      <c r="O153" s="58"/>
      <c r="P153" s="58"/>
      <c r="Q153" s="58"/>
      <c r="R153" s="1"/>
      <c r="S153" s="58"/>
      <c r="T153" s="58"/>
      <c r="U153" s="58"/>
      <c r="V153" s="58"/>
      <c r="W153" s="58"/>
      <c r="X153" s="58"/>
      <c r="Y153" s="58"/>
      <c r="Z153" s="1"/>
      <c r="AA153" s="58"/>
      <c r="AB153" s="58"/>
      <c r="AC153" s="58"/>
      <c r="AD153" s="58"/>
      <c r="AE153" s="58"/>
      <c r="AF153" s="58"/>
      <c r="AG153" s="58"/>
      <c r="AH153" s="1"/>
      <c r="AI153" s="1"/>
      <c r="AJ153" s="1"/>
      <c r="AK153" s="1"/>
      <c r="AL153" s="1"/>
      <c r="AM153" s="1"/>
      <c r="AN153" s="1"/>
      <c r="AO153" s="1"/>
      <c r="AP153" s="1"/>
      <c r="AQ153" s="265"/>
      <c r="AR153" s="266"/>
      <c r="AS153" s="266"/>
      <c r="AT153" s="266"/>
      <c r="AU153" s="266"/>
      <c r="AV153" s="265"/>
      <c r="AZ153" s="58"/>
      <c r="BA153" s="58"/>
      <c r="BB153" s="58"/>
      <c r="BC153" s="58"/>
      <c r="BD153" s="58"/>
      <c r="BE153" s="1"/>
      <c r="BF153" s="58"/>
      <c r="BG153" s="58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</row>
    <row r="154" ht="19.5" customHeight="1">
      <c r="A154" s="1"/>
      <c r="B154" s="261"/>
      <c r="C154" s="58"/>
      <c r="D154" s="58"/>
      <c r="E154" s="58"/>
      <c r="F154" s="58"/>
      <c r="G154" s="58"/>
      <c r="H154" s="58"/>
      <c r="I154" s="58"/>
      <c r="J154" s="1"/>
      <c r="K154" s="58"/>
      <c r="L154" s="58"/>
      <c r="M154" s="58"/>
      <c r="N154" s="58"/>
      <c r="O154" s="58"/>
      <c r="P154" s="58"/>
      <c r="Q154" s="58"/>
      <c r="R154" s="1"/>
      <c r="S154" s="58"/>
      <c r="T154" s="58"/>
      <c r="U154" s="58"/>
      <c r="V154" s="58"/>
      <c r="W154" s="58"/>
      <c r="X154" s="58"/>
      <c r="Y154" s="58"/>
      <c r="Z154" s="1"/>
      <c r="AA154" s="58"/>
      <c r="AB154" s="58"/>
      <c r="AC154" s="58"/>
      <c r="AD154" s="58"/>
      <c r="AE154" s="58"/>
      <c r="AF154" s="58"/>
      <c r="AG154" s="58"/>
      <c r="AH154" s="1"/>
      <c r="AI154" s="1"/>
      <c r="AJ154" s="1"/>
      <c r="AK154" s="1"/>
      <c r="AL154" s="1"/>
      <c r="AM154" s="1"/>
      <c r="AN154" s="1"/>
      <c r="AO154" s="1"/>
      <c r="AP154" s="1"/>
      <c r="AQ154" s="267"/>
      <c r="AR154" s="265"/>
      <c r="AS154" s="58"/>
      <c r="AT154" s="58"/>
      <c r="AU154" s="58"/>
      <c r="AV154" s="58"/>
      <c r="AW154" s="58"/>
      <c r="AX154" s="1"/>
      <c r="AY154" s="58"/>
      <c r="AZ154" s="58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</row>
    <row r="155" ht="19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267"/>
      <c r="AR155" s="265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ht="19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268"/>
      <c r="AR156" s="265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ht="19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265"/>
      <c r="AR157" s="265"/>
      <c r="AS157" s="265"/>
      <c r="AT157" s="265"/>
      <c r="AU157" s="269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</row>
    <row r="158" ht="19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268"/>
      <c r="AR158" s="265"/>
      <c r="AS158" s="265"/>
      <c r="AT158" s="265"/>
      <c r="AU158" s="269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</row>
    <row r="159" ht="19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265"/>
      <c r="AR159" s="265"/>
      <c r="AS159" s="265"/>
      <c r="AT159" s="265"/>
      <c r="AU159" s="269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</row>
    <row r="160" ht="19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268"/>
      <c r="AR160" s="265"/>
      <c r="AS160" s="265"/>
      <c r="AT160" s="265"/>
      <c r="AU160" s="269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</row>
    <row r="161" ht="19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265"/>
      <c r="AR161" s="265"/>
      <c r="AS161" s="265"/>
      <c r="AT161" s="265"/>
      <c r="AU161" s="269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</row>
    <row r="162" ht="19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268"/>
      <c r="AR162" s="265"/>
      <c r="AS162" s="265"/>
      <c r="AT162" s="265"/>
      <c r="AU162" s="265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</row>
    <row r="163" ht="19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265"/>
      <c r="AR163" s="265"/>
      <c r="AS163" s="265"/>
      <c r="AT163" s="265"/>
      <c r="AU163" s="265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</row>
    <row r="164" ht="19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268"/>
      <c r="AR164" s="265"/>
      <c r="AS164" s="265"/>
      <c r="AT164" s="265"/>
      <c r="AU164" s="265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</row>
    <row r="165" ht="19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262"/>
      <c r="AR165" s="263"/>
      <c r="AS165" s="263"/>
      <c r="AT165" s="263"/>
      <c r="AU165" s="263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</row>
    <row r="166" ht="19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263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</row>
    <row r="167" ht="19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265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</row>
    <row r="168" ht="20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267"/>
      <c r="AR168" s="1"/>
      <c r="AS168" s="1"/>
      <c r="AT168" s="1"/>
      <c r="AU168" s="1"/>
      <c r="AV168" s="1"/>
      <c r="AW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</row>
    <row r="169" ht="20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267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</row>
    <row r="170" ht="20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268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</row>
    <row r="171" ht="20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265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</row>
    <row r="172" ht="20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268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</row>
    <row r="173" ht="20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265"/>
      <c r="AR173" s="1"/>
      <c r="AS173" s="1"/>
      <c r="AT173" s="1"/>
      <c r="AU173" s="1"/>
      <c r="AV173" s="1"/>
      <c r="AW173" s="263"/>
      <c r="AX173" s="204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</row>
    <row r="174" ht="20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268"/>
      <c r="AR174" s="1"/>
      <c r="AS174" s="1"/>
      <c r="AT174" s="1"/>
      <c r="AU174" s="1"/>
      <c r="AV174" s="1"/>
      <c r="AW174" s="268"/>
      <c r="AX174" s="270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</row>
    <row r="175" ht="20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265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</row>
    <row r="176" ht="20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268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</row>
    <row r="177" ht="20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265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</row>
    <row r="178" ht="20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268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</row>
    <row r="179" ht="20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</row>
    <row r="180" ht="20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</row>
    <row r="181" ht="20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</row>
    <row r="182" ht="20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</row>
    <row r="183" ht="20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</row>
    <row r="184" ht="20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</row>
    <row r="185" ht="20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</row>
    <row r="186" ht="20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</row>
    <row r="187" ht="20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</row>
    <row r="188" ht="20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</row>
    <row r="189" ht="20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</row>
    <row r="190" ht="20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</row>
    <row r="191" ht="20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</row>
    <row r="192" ht="20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</row>
    <row r="193" ht="20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</row>
    <row r="194" ht="20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</row>
    <row r="195" ht="20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</row>
    <row r="196" ht="20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</row>
    <row r="197" ht="20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</row>
    <row r="198" ht="20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</row>
    <row r="199" ht="20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</row>
    <row r="200" ht="20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</row>
    <row r="201" ht="20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</row>
    <row r="202" ht="20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</row>
    <row r="203" ht="20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</row>
    <row r="204" ht="20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</row>
    <row r="205" ht="20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</row>
    <row r="206" ht="20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</row>
    <row r="207" ht="20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</row>
    <row r="208" ht="20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</row>
    <row r="209" ht="20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</row>
    <row r="210" ht="20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</row>
    <row r="211" ht="20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</row>
    <row r="212" ht="20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</row>
    <row r="213" ht="20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</row>
    <row r="214" ht="20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</row>
    <row r="215" ht="20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</row>
    <row r="216" ht="20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</row>
    <row r="217" ht="20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</row>
    <row r="218" ht="20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</row>
    <row r="219" ht="20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</row>
    <row r="220" ht="20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</row>
    <row r="221" ht="20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</row>
    <row r="222" ht="20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</row>
    <row r="223" ht="20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</row>
    <row r="224" ht="20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</row>
    <row r="225" ht="20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</row>
    <row r="226" ht="20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</row>
    <row r="227" ht="20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</row>
    <row r="228" ht="20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</row>
    <row r="229" ht="20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</row>
    <row r="230" ht="20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</row>
    <row r="231" ht="20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</row>
    <row r="232" ht="20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</row>
    <row r="233" ht="20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</row>
    <row r="234" ht="20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</row>
    <row r="235" ht="20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</row>
    <row r="236" ht="20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</row>
    <row r="237" ht="20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</row>
    <row r="238" ht="20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</row>
    <row r="239" ht="20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</row>
    <row r="240" ht="20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</row>
    <row r="241" ht="20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</row>
    <row r="242" ht="20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</row>
    <row r="243" ht="20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</row>
    <row r="244" ht="20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</row>
    <row r="245" ht="20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</row>
    <row r="246" ht="20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</row>
    <row r="247" ht="20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</row>
    <row r="248" ht="20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</row>
    <row r="249" ht="20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</row>
    <row r="250" ht="20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</row>
    <row r="251" ht="20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</row>
    <row r="252" ht="20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</row>
    <row r="253" ht="20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</row>
    <row r="254" ht="20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</row>
    <row r="255" ht="20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</row>
    <row r="256" ht="20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</row>
    <row r="257" ht="20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</row>
    <row r="258" ht="20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</row>
    <row r="259" ht="20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</row>
    <row r="260" ht="20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</row>
    <row r="261" ht="20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</row>
    <row r="262" ht="20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</row>
    <row r="263" ht="20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</row>
    <row r="264" ht="20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</row>
    <row r="265" ht="20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</row>
    <row r="266" ht="20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</row>
    <row r="267" ht="20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</row>
    <row r="268" ht="20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</row>
    <row r="269" ht="20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</row>
    <row r="270" ht="20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</row>
    <row r="271" ht="20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</row>
    <row r="272" ht="20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</row>
    <row r="273" ht="20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</row>
    <row r="274" ht="20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</row>
    <row r="275" ht="20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</row>
    <row r="276" ht="20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</row>
    <row r="277" ht="20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</row>
    <row r="278" ht="20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</row>
    <row r="279" ht="20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</row>
    <row r="280" ht="20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</row>
    <row r="281" ht="20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</row>
    <row r="282" ht="20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</row>
    <row r="283" ht="20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</row>
    <row r="284" ht="20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</row>
    <row r="285" ht="20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</row>
    <row r="286" ht="20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</row>
    <row r="287" ht="20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</row>
    <row r="288" ht="20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</row>
    <row r="289" ht="20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</row>
    <row r="290" ht="20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</row>
    <row r="291" ht="20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</row>
    <row r="292" ht="20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</row>
    <row r="293" ht="20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</row>
    <row r="294" ht="20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</row>
    <row r="295" ht="20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</row>
    <row r="296" ht="20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</row>
    <row r="297" ht="20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</row>
    <row r="298" ht="20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</row>
    <row r="299" ht="20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</row>
    <row r="300" ht="20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</row>
    <row r="301" ht="20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</row>
    <row r="302" ht="20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</row>
    <row r="303" ht="20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</row>
    <row r="304" ht="20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</row>
    <row r="305" ht="20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</row>
    <row r="306" ht="20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</row>
    <row r="307" ht="20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</row>
    <row r="308" ht="20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</row>
    <row r="309" ht="20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</row>
    <row r="310" ht="20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</row>
    <row r="311" ht="20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</row>
    <row r="312" ht="20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</row>
    <row r="313" ht="20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</row>
    <row r="314" ht="20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</row>
    <row r="315" ht="20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</row>
    <row r="316" ht="20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</row>
    <row r="317" ht="20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</row>
    <row r="318" ht="20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</row>
    <row r="319" ht="20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</row>
    <row r="320" ht="20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</row>
    <row r="321" ht="20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</row>
    <row r="322" ht="20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</row>
    <row r="323" ht="20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</row>
    <row r="324" ht="20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</row>
    <row r="325" ht="20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</row>
    <row r="326" ht="20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</row>
    <row r="327" ht="20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</row>
    <row r="328" ht="20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</row>
    <row r="329" ht="20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</row>
    <row r="330" ht="20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</row>
    <row r="331" ht="20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</row>
    <row r="332" ht="20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</row>
    <row r="333" ht="20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</row>
    <row r="334" ht="20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</row>
    <row r="335" ht="20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</row>
    <row r="336" ht="20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</row>
    <row r="337" ht="20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</row>
    <row r="338" ht="20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</row>
    <row r="339" ht="20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</row>
    <row r="340" ht="20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</row>
    <row r="341" ht="20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</row>
    <row r="342" ht="20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</row>
    <row r="343" ht="20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</row>
    <row r="344" ht="20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</row>
    <row r="345" ht="20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</row>
    <row r="346" ht="20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</row>
    <row r="347" ht="20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</row>
    <row r="348" ht="20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</row>
    <row r="349" ht="20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</row>
    <row r="350" ht="20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</row>
    <row r="351" ht="20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</row>
    <row r="352" ht="20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</row>
    <row r="353" ht="20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</row>
    <row r="354" ht="20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</row>
    <row r="355" ht="20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</row>
    <row r="356" ht="20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</row>
    <row r="357" ht="20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</row>
    <row r="358" ht="20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</row>
    <row r="359" ht="20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</row>
    <row r="360" ht="20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</row>
    <row r="361" ht="20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</row>
    <row r="362" ht="20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</row>
    <row r="363" ht="20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</row>
    <row r="364" ht="20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</row>
    <row r="365" ht="20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</row>
    <row r="366" ht="20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</row>
    <row r="367" ht="20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</row>
    <row r="368" ht="20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</row>
    <row r="369" ht="20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</row>
    <row r="370" ht="20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</row>
    <row r="371" ht="20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</row>
    <row r="372" ht="20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</row>
    <row r="373" ht="20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</row>
    <row r="374" ht="20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</row>
    <row r="375" ht="20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</row>
    <row r="376" ht="20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</row>
    <row r="377" ht="20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</row>
    <row r="378" ht="20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</row>
    <row r="379" ht="20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</row>
    <row r="380" ht="20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</row>
    <row r="381" ht="20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</row>
    <row r="382" ht="20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</row>
    <row r="383" ht="20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</row>
    <row r="384" ht="20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</row>
    <row r="385" ht="20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</row>
    <row r="386" ht="20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</row>
    <row r="387" ht="20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</row>
    <row r="388" ht="20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</row>
    <row r="389" ht="20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</row>
    <row r="390" ht="20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</row>
    <row r="391" ht="20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</row>
    <row r="392" ht="20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</row>
    <row r="393" ht="20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</row>
    <row r="394" ht="20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</row>
    <row r="395" ht="20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</row>
    <row r="396" ht="20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</row>
    <row r="397" ht="20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</row>
    <row r="398" ht="20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</row>
    <row r="399" ht="20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</row>
    <row r="400" ht="20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</row>
    <row r="401" ht="20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</row>
    <row r="402" ht="20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</row>
    <row r="403" ht="20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</row>
    <row r="404" ht="20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</row>
    <row r="405" ht="20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</row>
    <row r="406" ht="20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</row>
    <row r="407" ht="20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</row>
    <row r="408" ht="20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</row>
    <row r="409" ht="20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</row>
    <row r="410" ht="20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</row>
    <row r="411" ht="20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</row>
    <row r="412" ht="20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</row>
    <row r="413" ht="20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</row>
    <row r="414" ht="20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</row>
    <row r="415" ht="20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</row>
    <row r="416" ht="20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</row>
    <row r="417" ht="20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</row>
    <row r="418" ht="20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</row>
    <row r="419" ht="20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</row>
    <row r="420" ht="20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</row>
    <row r="421" ht="20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</row>
    <row r="422" ht="20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</row>
    <row r="423" ht="20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</row>
    <row r="424" ht="20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</row>
    <row r="425" ht="20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</row>
    <row r="426" ht="20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</row>
    <row r="427" ht="20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</row>
    <row r="428" ht="20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</row>
    <row r="429" ht="20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</row>
    <row r="430" ht="20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</row>
    <row r="431" ht="20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</row>
    <row r="432" ht="20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</row>
    <row r="433" ht="20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</row>
    <row r="434" ht="20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</row>
    <row r="435" ht="20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</row>
    <row r="436" ht="20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</row>
    <row r="437" ht="20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</row>
    <row r="438" ht="20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</row>
    <row r="439" ht="20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</row>
    <row r="440" ht="20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</row>
    <row r="441" ht="20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</row>
    <row r="442" ht="20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</row>
    <row r="443" ht="20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</row>
    <row r="444" ht="20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</row>
    <row r="445" ht="20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</row>
    <row r="446" ht="20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</row>
    <row r="447" ht="20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</row>
    <row r="448" ht="20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</row>
    <row r="449" ht="20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</row>
    <row r="450" ht="20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</row>
    <row r="451" ht="20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</row>
    <row r="452" ht="20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</row>
    <row r="453" ht="20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</row>
    <row r="454" ht="20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</row>
    <row r="455" ht="20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</row>
    <row r="456" ht="20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</row>
    <row r="457" ht="20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</row>
    <row r="458" ht="20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</row>
    <row r="459" ht="20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</row>
    <row r="460" ht="20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</row>
    <row r="461" ht="20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</row>
    <row r="462" ht="20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</row>
    <row r="463" ht="20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</row>
    <row r="464" ht="20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</row>
    <row r="465" ht="20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</row>
    <row r="466" ht="20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</row>
    <row r="467" ht="20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</row>
    <row r="468" ht="20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</row>
    <row r="469" ht="20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</row>
    <row r="470" ht="20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</row>
    <row r="471" ht="20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</row>
    <row r="472" ht="20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</row>
    <row r="473" ht="20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</row>
    <row r="474" ht="20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</row>
    <row r="475" ht="20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</row>
    <row r="476" ht="20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</row>
    <row r="477" ht="20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</row>
    <row r="478" ht="20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</row>
    <row r="479" ht="20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</row>
    <row r="480" ht="20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</row>
    <row r="481" ht="20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</row>
    <row r="482" ht="20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</row>
    <row r="483" ht="20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</row>
    <row r="484" ht="20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</row>
    <row r="485" ht="20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</row>
    <row r="486" ht="20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</row>
    <row r="487" ht="20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</row>
    <row r="488" ht="20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</row>
    <row r="489" ht="20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</row>
    <row r="490" ht="20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</row>
    <row r="491" ht="20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</row>
    <row r="492" ht="20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</row>
    <row r="493" ht="20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</row>
    <row r="494" ht="20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</row>
    <row r="495" ht="20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</row>
    <row r="496" ht="20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</row>
    <row r="497" ht="20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</row>
    <row r="498" ht="20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</row>
    <row r="499" ht="20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</row>
    <row r="500" ht="20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</row>
    <row r="501" ht="20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</row>
    <row r="502" ht="20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</row>
    <row r="503" ht="20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</row>
    <row r="504" ht="20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</row>
    <row r="505" ht="20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</row>
    <row r="506" ht="20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</row>
    <row r="507" ht="20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</row>
    <row r="508" ht="20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</row>
    <row r="509" ht="20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</row>
    <row r="510" ht="20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</row>
    <row r="511" ht="20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</row>
    <row r="512" ht="20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</row>
    <row r="513" ht="20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</row>
    <row r="514" ht="20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</row>
    <row r="515" ht="20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</row>
    <row r="516" ht="20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</row>
    <row r="517" ht="20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</row>
    <row r="518" ht="20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</row>
    <row r="519" ht="20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</row>
    <row r="520" ht="20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</row>
    <row r="521" ht="20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</row>
    <row r="522" ht="20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</row>
    <row r="523" ht="20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</row>
    <row r="524" ht="20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</row>
    <row r="525" ht="20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</row>
    <row r="526" ht="20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</row>
    <row r="527" ht="20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</row>
    <row r="528" ht="20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</row>
    <row r="529" ht="20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</row>
    <row r="530" ht="20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</row>
    <row r="531" ht="20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</row>
    <row r="532" ht="20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</row>
    <row r="533" ht="20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</row>
    <row r="534" ht="20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</row>
    <row r="535" ht="20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</row>
    <row r="536" ht="20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</row>
    <row r="537" ht="20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</row>
    <row r="538" ht="20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</row>
    <row r="539" ht="20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</row>
    <row r="540" ht="20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</row>
    <row r="541" ht="20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</row>
    <row r="542" ht="20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</row>
    <row r="543" ht="20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</row>
    <row r="544" ht="20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</row>
    <row r="545" ht="20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</row>
    <row r="546" ht="20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</row>
    <row r="547" ht="20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</row>
    <row r="548" ht="20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</row>
    <row r="549" ht="20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</row>
    <row r="550" ht="20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</row>
    <row r="551" ht="20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</row>
    <row r="552" ht="20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</row>
    <row r="553" ht="20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</row>
    <row r="554" ht="20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</row>
    <row r="555" ht="20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</row>
    <row r="556" ht="20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</row>
    <row r="557" ht="20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</row>
    <row r="558" ht="20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</row>
    <row r="559" ht="20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</row>
    <row r="560" ht="20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</row>
    <row r="561" ht="20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</row>
    <row r="562" ht="20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</row>
    <row r="563" ht="20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</row>
    <row r="564" ht="20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</row>
    <row r="565" ht="20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</row>
    <row r="566" ht="20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</row>
    <row r="567" ht="20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</row>
    <row r="568" ht="20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</row>
    <row r="569" ht="20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</row>
    <row r="570" ht="20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</row>
    <row r="571" ht="20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</row>
    <row r="572" ht="20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</row>
    <row r="573" ht="20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</row>
    <row r="574" ht="20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</row>
    <row r="575" ht="20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</row>
    <row r="576" ht="20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</row>
    <row r="577" ht="20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</row>
    <row r="578" ht="20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</row>
    <row r="579" ht="20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</row>
    <row r="580" ht="20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</row>
    <row r="581" ht="20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</row>
    <row r="582" ht="20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</row>
    <row r="583" ht="20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</row>
    <row r="584" ht="20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</row>
    <row r="585" ht="20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</row>
    <row r="586" ht="20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</row>
    <row r="587" ht="20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</row>
    <row r="588" ht="20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</row>
    <row r="589" ht="20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</row>
    <row r="590" ht="20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</row>
    <row r="591" ht="20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</row>
    <row r="592" ht="20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</row>
    <row r="593" ht="20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</row>
    <row r="594" ht="20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</row>
    <row r="595" ht="20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</row>
    <row r="596" ht="20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</row>
    <row r="597" ht="20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</row>
    <row r="598" ht="20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</row>
    <row r="599" ht="20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</row>
    <row r="600" ht="20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</row>
    <row r="601" ht="20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</row>
    <row r="602" ht="20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</row>
    <row r="603" ht="20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</row>
    <row r="604" ht="20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</row>
    <row r="605" ht="20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</row>
    <row r="606" ht="20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</row>
    <row r="607" ht="20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</row>
    <row r="608" ht="20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</row>
    <row r="609" ht="20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</row>
    <row r="610" ht="20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</row>
    <row r="611" ht="20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</row>
    <row r="612" ht="20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</row>
    <row r="613" ht="20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</row>
    <row r="614" ht="20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</row>
    <row r="615" ht="20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</row>
    <row r="616" ht="20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</row>
    <row r="617" ht="20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</row>
    <row r="618" ht="20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</row>
    <row r="619" ht="20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</row>
    <row r="620" ht="20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</row>
    <row r="621" ht="20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</row>
    <row r="622" ht="20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</row>
    <row r="623" ht="20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</row>
    <row r="624" ht="20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</row>
    <row r="625" ht="20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</row>
    <row r="626" ht="20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</row>
    <row r="627" ht="20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</row>
    <row r="628" ht="20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</row>
    <row r="629" ht="20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</row>
    <row r="630" ht="20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</row>
    <row r="631" ht="20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</row>
    <row r="632" ht="20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</row>
    <row r="633" ht="20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</row>
    <row r="634" ht="20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</row>
    <row r="635" ht="20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</row>
    <row r="636" ht="20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</row>
    <row r="637" ht="20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</row>
    <row r="638" ht="20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</row>
    <row r="639" ht="20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</row>
    <row r="640" ht="20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</row>
    <row r="641" ht="20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</row>
    <row r="642" ht="20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</row>
    <row r="643" ht="20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</row>
    <row r="644" ht="20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</row>
    <row r="645" ht="20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</row>
    <row r="646" ht="20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</row>
    <row r="647" ht="20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</row>
    <row r="648" ht="20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</row>
    <row r="649" ht="20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</row>
    <row r="650" ht="20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</row>
    <row r="651" ht="20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</row>
    <row r="652" ht="20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</row>
    <row r="653" ht="20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</row>
    <row r="654" ht="20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</row>
    <row r="655" ht="20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</row>
    <row r="656" ht="20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</row>
    <row r="657" ht="20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</row>
    <row r="658" ht="20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</row>
    <row r="659" ht="20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</row>
    <row r="660" ht="20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</row>
    <row r="661" ht="20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</row>
    <row r="662" ht="20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</row>
    <row r="663" ht="20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</row>
    <row r="664" ht="20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</row>
    <row r="665" ht="20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</row>
    <row r="666" ht="20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</row>
    <row r="667" ht="20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</row>
    <row r="668" ht="20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</row>
    <row r="669" ht="20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</row>
    <row r="670" ht="20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</row>
    <row r="671" ht="20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</row>
    <row r="672" ht="20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</row>
    <row r="673" ht="20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</row>
    <row r="674" ht="20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</row>
    <row r="675" ht="20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</row>
    <row r="676" ht="20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</row>
    <row r="677" ht="20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</row>
    <row r="678" ht="20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</row>
    <row r="679" ht="20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</row>
    <row r="680" ht="20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</row>
    <row r="681" ht="20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</row>
    <row r="682" ht="20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</row>
    <row r="683" ht="20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</row>
    <row r="684" ht="20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</row>
    <row r="685" ht="20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</row>
    <row r="686" ht="20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</row>
    <row r="687" ht="20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</row>
    <row r="688" ht="20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</row>
    <row r="689" ht="20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</row>
    <row r="690" ht="20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</row>
    <row r="691" ht="20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</row>
    <row r="692" ht="20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</row>
    <row r="693" ht="20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</row>
    <row r="694" ht="20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</row>
    <row r="695" ht="20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</row>
    <row r="696" ht="20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</row>
    <row r="697" ht="20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</row>
    <row r="698" ht="20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</row>
    <row r="699" ht="20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</row>
    <row r="700" ht="20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</row>
    <row r="701" ht="20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</row>
    <row r="702" ht="20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</row>
    <row r="703" ht="20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</row>
    <row r="704" ht="20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</row>
    <row r="705" ht="20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</row>
    <row r="706" ht="20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</row>
    <row r="707" ht="20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</row>
    <row r="708" ht="20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</row>
    <row r="709" ht="20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</row>
    <row r="710" ht="20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</row>
    <row r="711" ht="20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</row>
    <row r="712" ht="20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</row>
    <row r="713" ht="20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</row>
    <row r="714" ht="20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</row>
    <row r="715" ht="20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</row>
    <row r="716" ht="20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</row>
    <row r="717" ht="20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</row>
    <row r="718" ht="20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</row>
    <row r="719" ht="20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</row>
    <row r="720" ht="20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</row>
    <row r="721" ht="20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</row>
    <row r="722" ht="20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</row>
    <row r="723" ht="20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</row>
    <row r="724" ht="20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</row>
    <row r="725" ht="20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</row>
    <row r="726" ht="20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</row>
    <row r="727" ht="20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</row>
    <row r="728" ht="20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</row>
    <row r="729" ht="20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</row>
    <row r="730" ht="20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</row>
    <row r="731" ht="20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</row>
    <row r="732" ht="20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</row>
    <row r="733" ht="20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</row>
    <row r="734" ht="20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</row>
    <row r="735" ht="20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</row>
    <row r="736" ht="20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</row>
    <row r="737" ht="20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</row>
    <row r="738" ht="20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</row>
    <row r="739" ht="20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</row>
    <row r="740" ht="20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</row>
    <row r="741" ht="20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</row>
    <row r="742" ht="20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</row>
    <row r="743" ht="20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</row>
    <row r="744" ht="20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</row>
    <row r="745" ht="20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</row>
    <row r="746" ht="20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</row>
    <row r="747" ht="20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</row>
    <row r="748" ht="20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</row>
    <row r="749" ht="20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</row>
    <row r="750" ht="20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</row>
    <row r="751" ht="20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</row>
    <row r="752" ht="20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</row>
    <row r="753" ht="20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</row>
    <row r="754" ht="20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</row>
    <row r="755" ht="20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</row>
    <row r="756" ht="20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</row>
    <row r="757" ht="20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</row>
    <row r="758" ht="20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</row>
    <row r="759" ht="20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</row>
    <row r="760" ht="20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</row>
    <row r="761" ht="20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</row>
    <row r="762" ht="20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</row>
    <row r="763" ht="20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</row>
    <row r="764" ht="20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</row>
    <row r="765" ht="20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</row>
    <row r="766" ht="20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</row>
    <row r="767" ht="20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</row>
    <row r="768" ht="20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</row>
    <row r="769" ht="20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</row>
    <row r="770" ht="20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</row>
    <row r="771" ht="20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</row>
    <row r="772" ht="20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</row>
    <row r="773" ht="20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</row>
    <row r="774" ht="20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</row>
    <row r="775" ht="20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</row>
    <row r="776" ht="20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</row>
    <row r="777" ht="20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</row>
    <row r="778" ht="20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</row>
    <row r="779" ht="20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</row>
    <row r="780" ht="20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</row>
    <row r="781" ht="20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</row>
    <row r="782" ht="20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</row>
    <row r="783" ht="20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</row>
    <row r="784" ht="20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</row>
    <row r="785" ht="20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</row>
    <row r="786" ht="20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</row>
    <row r="787" ht="20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</row>
    <row r="788" ht="20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</row>
    <row r="789" ht="20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</row>
    <row r="790" ht="20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</row>
    <row r="791" ht="20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</row>
    <row r="792" ht="20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</row>
    <row r="793" ht="20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</row>
    <row r="794" ht="20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</row>
    <row r="795" ht="20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</row>
    <row r="796" ht="20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</row>
    <row r="797" ht="20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</row>
    <row r="798" ht="20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</row>
    <row r="799" ht="20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</row>
    <row r="800" ht="20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</row>
    <row r="801" ht="20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</row>
    <row r="802" ht="20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</row>
    <row r="803" ht="20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</row>
    <row r="804" ht="20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</row>
    <row r="805" ht="20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</row>
    <row r="806" ht="20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</row>
    <row r="807" ht="20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</row>
    <row r="808" ht="20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</row>
    <row r="809" ht="20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</row>
    <row r="810" ht="20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</row>
    <row r="811" ht="20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</row>
    <row r="812" ht="20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</row>
    <row r="813" ht="20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</row>
    <row r="814" ht="20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</row>
    <row r="815" ht="20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</row>
    <row r="816" ht="20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</row>
    <row r="817" ht="20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</row>
    <row r="818" ht="20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</row>
    <row r="819" ht="20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</row>
    <row r="820" ht="20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</row>
    <row r="821" ht="20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</row>
    <row r="822" ht="20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</row>
    <row r="823" ht="20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</row>
    <row r="824" ht="20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</row>
    <row r="825" ht="20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</row>
    <row r="826" ht="20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</row>
    <row r="827" ht="20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</row>
    <row r="828" ht="20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</row>
    <row r="829" ht="20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</row>
    <row r="830" ht="20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</row>
    <row r="831" ht="20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</row>
    <row r="832" ht="20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</row>
    <row r="833" ht="20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</row>
    <row r="834" ht="20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</row>
    <row r="835" ht="20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</row>
    <row r="836" ht="20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</row>
    <row r="837" ht="20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</row>
    <row r="838" ht="20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</row>
    <row r="839" ht="20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</row>
    <row r="840" ht="20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</row>
    <row r="841" ht="20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</row>
    <row r="842" ht="20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</row>
    <row r="843" ht="20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</row>
    <row r="844" ht="20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</row>
    <row r="845" ht="20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</row>
    <row r="846" ht="20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</row>
    <row r="847" ht="20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</row>
    <row r="848" ht="20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</row>
    <row r="849" ht="20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</row>
    <row r="850" ht="20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</row>
    <row r="851" ht="20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</row>
    <row r="852" ht="20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</row>
    <row r="853" ht="20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</row>
    <row r="854" ht="20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</row>
    <row r="855" ht="20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</row>
    <row r="856" ht="20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</row>
    <row r="857" ht="20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</row>
    <row r="858" ht="20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</row>
    <row r="859" ht="20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</row>
    <row r="860" ht="20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</row>
    <row r="861" ht="20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</row>
    <row r="862" ht="20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</row>
    <row r="863" ht="20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</row>
    <row r="864" ht="20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</row>
    <row r="865" ht="20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</row>
    <row r="866" ht="20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</row>
    <row r="867" ht="20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</row>
    <row r="868" ht="20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</row>
    <row r="869" ht="20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</row>
    <row r="870" ht="20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</row>
    <row r="871" ht="20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</row>
    <row r="872" ht="20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</row>
    <row r="873" ht="20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</row>
    <row r="874" ht="20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</row>
    <row r="875" ht="20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</row>
    <row r="876" ht="20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</row>
    <row r="877" ht="20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</row>
    <row r="878" ht="20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</row>
    <row r="879" ht="20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</row>
    <row r="880" ht="20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</row>
    <row r="881" ht="20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</row>
    <row r="882" ht="20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</row>
    <row r="883" ht="20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</row>
    <row r="884" ht="20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</row>
    <row r="885" ht="20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</row>
    <row r="886" ht="20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</row>
    <row r="887" ht="20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</row>
    <row r="888" ht="20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</row>
    <row r="889" ht="20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</row>
    <row r="890" ht="20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</row>
    <row r="891" ht="20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</row>
    <row r="892" ht="20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</row>
    <row r="893" ht="20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</row>
    <row r="894" ht="20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</row>
    <row r="895" ht="20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</row>
    <row r="896" ht="20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</row>
    <row r="897" ht="20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</row>
    <row r="898" ht="20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</row>
    <row r="899" ht="20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</row>
    <row r="900" ht="20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</row>
    <row r="901" ht="20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</row>
    <row r="902" ht="20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</row>
    <row r="903" ht="20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</row>
    <row r="904" ht="20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</row>
    <row r="905" ht="20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</row>
    <row r="906" ht="20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</row>
    <row r="907" ht="20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</row>
    <row r="908" ht="20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</row>
    <row r="909" ht="20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</row>
    <row r="910" ht="20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</row>
    <row r="911" ht="20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</row>
    <row r="912" ht="20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</row>
    <row r="913" ht="20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</row>
    <row r="914" ht="20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</row>
    <row r="915" ht="20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</row>
    <row r="916" ht="20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</row>
    <row r="917" ht="20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</row>
    <row r="918" ht="20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</row>
    <row r="919" ht="20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</row>
    <row r="920" ht="20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</row>
    <row r="921" ht="20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</row>
    <row r="922" ht="20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</row>
    <row r="923" ht="20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</row>
    <row r="924" ht="20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</row>
    <row r="925" ht="20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</row>
    <row r="926" ht="20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</row>
    <row r="927" ht="20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</row>
    <row r="928" ht="20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</row>
    <row r="929" ht="20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</row>
    <row r="930" ht="20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</row>
    <row r="931" ht="20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</row>
    <row r="932" ht="20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</row>
    <row r="933" ht="20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</row>
    <row r="934" ht="20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</row>
    <row r="935" ht="20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</row>
    <row r="936" ht="20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</row>
    <row r="937" ht="20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</row>
    <row r="938" ht="20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</row>
    <row r="939" ht="20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</row>
    <row r="940" ht="20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</row>
    <row r="941" ht="20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</row>
    <row r="942" ht="20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</row>
    <row r="943" ht="20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</row>
    <row r="944" ht="20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</row>
    <row r="945" ht="20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</row>
    <row r="946" ht="20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</row>
    <row r="947" ht="20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</row>
    <row r="948" ht="20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</row>
    <row r="949" ht="20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</row>
    <row r="950" ht="20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</row>
    <row r="951" ht="20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</row>
    <row r="952" ht="20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</row>
    <row r="953" ht="20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</row>
    <row r="954" ht="20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</row>
    <row r="955" ht="20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</row>
    <row r="956" ht="20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</row>
    <row r="957" ht="20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</row>
    <row r="958" ht="20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</row>
    <row r="959" ht="20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</row>
    <row r="960" ht="20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</row>
    <row r="961" ht="20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</row>
    <row r="962" ht="20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</row>
    <row r="963" ht="20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</row>
    <row r="964" ht="20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</row>
    <row r="965" ht="20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</row>
    <row r="966" ht="20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</row>
    <row r="967" ht="20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</row>
    <row r="968" ht="20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</row>
    <row r="969" ht="20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</row>
    <row r="970" ht="20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</row>
    <row r="971" ht="20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</row>
    <row r="972" ht="20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</row>
    <row r="973" ht="20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</row>
    <row r="974" ht="20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</row>
    <row r="975" ht="20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</row>
    <row r="976" ht="20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</row>
    <row r="977" ht="20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</row>
    <row r="978" ht="20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</row>
    <row r="979" ht="20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</row>
    <row r="980" ht="20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</row>
    <row r="981" ht="20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</row>
    <row r="982" ht="20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</row>
    <row r="983" ht="20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</row>
    <row r="984" ht="20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</row>
    <row r="985" ht="20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</row>
    <row r="986" ht="20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</row>
    <row r="987" ht="20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</row>
    <row r="988" ht="20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</row>
    <row r="989" ht="20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</row>
    <row r="990" ht="20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</row>
    <row r="991" ht="20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</row>
    <row r="992" ht="20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</row>
    <row r="993" ht="20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</row>
    <row r="994" ht="20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</row>
    <row r="995" ht="20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</row>
    <row r="996" ht="20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</row>
    <row r="997" ht="20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</row>
    <row r="998" ht="20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</row>
    <row r="999" ht="20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</row>
    <row r="1000" ht="20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</row>
    <row r="1001" ht="20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</row>
    <row r="1002" ht="20.2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</row>
    <row r="1003" ht="20.2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</row>
    <row r="1004" ht="20.2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</row>
    <row r="1005" ht="20.2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</row>
    <row r="1006" ht="20.2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</row>
    <row r="1007" ht="20.2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</row>
  </sheetData>
  <mergeCells count="50">
    <mergeCell ref="AA40:AG40"/>
    <mergeCell ref="AI40:AO40"/>
    <mergeCell ref="AX40:BE40"/>
    <mergeCell ref="BF40:BG40"/>
    <mergeCell ref="BH40:BK40"/>
    <mergeCell ref="BO40:BS40"/>
    <mergeCell ref="BU40:BX40"/>
    <mergeCell ref="BZ40:CD40"/>
    <mergeCell ref="C3:I3"/>
    <mergeCell ref="K3:Q3"/>
    <mergeCell ref="S3:Y3"/>
    <mergeCell ref="AA3:AG3"/>
    <mergeCell ref="AX3:BD3"/>
    <mergeCell ref="E39:I39"/>
    <mergeCell ref="C40:I40"/>
    <mergeCell ref="AQ40:AW40"/>
    <mergeCell ref="K40:Q40"/>
    <mergeCell ref="S40:Y40"/>
    <mergeCell ref="AX76:BD76"/>
    <mergeCell ref="E78:I78"/>
    <mergeCell ref="C79:I79"/>
    <mergeCell ref="K79:Q79"/>
    <mergeCell ref="S79:Y79"/>
    <mergeCell ref="AQ79:AW79"/>
    <mergeCell ref="AA79:AG79"/>
    <mergeCell ref="AI79:AO79"/>
    <mergeCell ref="BI79:BM79"/>
    <mergeCell ref="BO79:BS79"/>
    <mergeCell ref="AX83:BC83"/>
    <mergeCell ref="BD83:BG83"/>
    <mergeCell ref="AX85:BI85"/>
    <mergeCell ref="AX90:BI90"/>
    <mergeCell ref="AX94:BI94"/>
    <mergeCell ref="AX101:BC101"/>
    <mergeCell ref="AX102:BC102"/>
    <mergeCell ref="AX107:BC107"/>
    <mergeCell ref="AX110:BC110"/>
    <mergeCell ref="AX113:BC113"/>
    <mergeCell ref="BF117:BG117"/>
    <mergeCell ref="BI117:BM117"/>
    <mergeCell ref="BO117:BS117"/>
    <mergeCell ref="AX120:BC120"/>
    <mergeCell ref="AX126:BC126"/>
    <mergeCell ref="C117:I117"/>
    <mergeCell ref="K117:Q117"/>
    <mergeCell ref="S117:Y117"/>
    <mergeCell ref="AA117:AG117"/>
    <mergeCell ref="AI117:AO117"/>
    <mergeCell ref="AQ117:AW117"/>
    <mergeCell ref="AX117:BC117"/>
  </mergeCells>
  <printOptions/>
  <pageMargins bottom="0.75" footer="0.0" header="0.0" left="0.7" right="0.7" top="0.75"/>
  <pageSetup orientation="landscape"/>
  <drawing r:id="rId1"/>
</worksheet>
</file>